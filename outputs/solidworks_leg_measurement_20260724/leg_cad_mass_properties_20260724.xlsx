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2169575c0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CAD" sheetId="1" r:id="R4671be1ccfa740fb"/>
    <x:sheet xmlns:r="http://schemas.openxmlformats.org/officeDocument/2006/relationships" name="Derived" sheetId="2" r:id="Ra1351e8a4816454f"/>
    <x:sheet xmlns:r="http://schemas.openxmlformats.org/officeDocument/2006/relationships" name="MCU_Lookup" sheetId="3" r:id="R714496bd61f6456f"/>
    <x:sheet xmlns:r="http://schemas.openxmlformats.org/officeDocument/2006/relationships" name="Summary" sheetId="4" r:id="R672c7a8d4a0d4cfb"/>
    <x:sheet xmlns:r="http://schemas.openxmlformats.org/officeDocument/2006/relationships" name="Protocol" sheetId="5" r:id="R72fff27193c7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000"/>
    <x:numFmt numFmtId="201" formatCode="0.0000"/>
    <x:numFmt numFmtId="202" formatCode="0.000"/>
    <x:numFmt numFmtId="203" formatCode="General"/>
    <x:numFmt numFmtId="204" formatCode="0.000000"/>
  </x:numFmts>
  <x:fonts count="10">
    <x:font>
      <x:sz val="11"/>
      <x:name val="Carlito"/>
    </x:font>
    <x:font>
      <x:sz val="9"/>
      <x:name val="Aptos"/>
    </x:font>
    <x:font>
      <x:b/>
      <x:sz val="9"/>
      <x:color rgb="FFFFFFFF"/>
      <x:name val="Aptos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2"/>
      <x:color rgb="FFB45309"/>
      <x:name val="Carlito"/>
    </x:font>
    <x:font>
      <x:b/>
      <x:sz val="18"/>
      <x:color rgb="FFFFFFFF"/>
      <x:name val="Carlito"/>
    </x:font>
    <x:font>
      <x:b/>
      <x:sz val="12"/>
      <x:color rgb="FF15803D"/>
      <x:name val="Carlito"/>
    </x:font>
    <x:font>
      <x:sz val="11"/>
      <x:color rgb="FFB4530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FFF5E6"/>
      </x:patternFill>
    </x:fill>
    <x:fill>
      <x:patternFill patternType="solid">
        <x:fgColor rgb="FFEAF7EE"/>
      </x:patternFill>
    </x:fill>
  </x:fills>
  <x:borders count="6">
    <x:border/>
    <x:border/>
    <x:border>
      <x:bottom style="thin">
        <x:color rgb="FFD5DDE5"/>
      </x:bottom>
    </x:border>
    <x:border>
      <x:top style="thin">
        <x:color rgb="FFD5DDE5"/>
      </x:top>
      <x:bottom style="thin">
        <x:color rgb="FFD5DDE5"/>
      </x:bottom>
    </x:border>
    <x:border>
      <x:bottom style="thin">
        <x:color rgb="FFD5DDE5"/>
      </x:bottom>
    </x:border>
    <x:border>
      <x:top style="thin">
        <x:color rgb="FFD5DDE5"/>
      </x:top>
      <x:bottom style="thin">
        <x:color rgb="FFD5DDE5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5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cae2c3f834b34" /><Relationship Type="http://schemas.openxmlformats.org/officeDocument/2006/relationships/theme" Target="/xl/theme/theme1.xml" Id="R5bc5813159d64b33" /><Relationship Type="http://schemas.openxmlformats.org/officeDocument/2006/relationships/sharedStrings" Target="/xl/sharedStrings.xml" Id="Rdf6c1571903e48af" /><Relationship Type="http://schemas.openxmlformats.org/officeDocument/2006/relationships/worksheet" Target="/xl/worksheets/sheet1.xml" Id="R4671be1ccfa740fb" /><Relationship Type="http://schemas.openxmlformats.org/officeDocument/2006/relationships/worksheet" Target="/xl/worksheets/sheet2.xml" Id="Ra1351e8a4816454f" /><Relationship Type="http://schemas.openxmlformats.org/officeDocument/2006/relationships/worksheet" Target="/xl/worksheets/sheet3.xml" Id="R714496bd61f6456f" /><Relationship Type="http://schemas.openxmlformats.org/officeDocument/2006/relationships/worksheet" Target="/xl/worksheets/sheet4.xml" Id="R672c7a8d4a0d4cfb" /><Relationship Type="http://schemas.openxmlformats.org/officeDocument/2006/relationships/worksheet" Target="/xl/worksheets/sheet5.xml" Id="R72fff27193c748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7fb791a23f446c" /><Relationship Type="http://schemas.openxmlformats.org/officeDocument/2006/relationships/chart" Target="/xl/drawings/charts/chart2.xml" Id="R3415c6a6a9494a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质心轴向/法向偏置随腿长变化 (m)</a:t>
            </a:r>
          </a:p>
        </c:rich>
      </c:tx>
    </c:title>
    <c:plotArea>
      <c:lineChart>
        <c:grouping val="standard"/>
        <c:ser>
          <c:idx val="0"/>
          <c:order val="0"/>
          <c:tx>
            <c:v>com_parallel_upper_m</c:v>
          </c:tx>
          <c:marker>
            <c:symbol val="none"/>
          </c:marker>
          <c:cat>
            <c:strRef>
              <c:f>'Summary'!$A$19:$A$41</c:f>
              <c:strCache>
                <c:ptCount val="0"/>
              </c:strCache>
            </c:strRef>
          </c:cat>
          <c:val>
            <c:numRef>
              <c:f>'Summary'!$B$19:$B$41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com_normal_m</c:v>
          </c:tx>
          <c:marker>
            <c:symbol val="none"/>
          </c:marker>
          <c:cat>
            <c:strRef>
              <c:f>'Summary'!$A$19:$A$41</c:f>
              <c:strCache>
                <c:ptCount val="0"/>
              </c:strCache>
            </c:strRef>
          </c:cat>
          <c:val>
            <c:numRef>
              <c:f>'Summary'!$C$19:$C$41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l0 (m)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offset (m)</a:t>
                </a:r>
              </a:p>
            </c:rich>
          </c:tx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Pitch 惯量随腿长变化 (kg·m²)</a:t>
            </a:r>
          </a:p>
        </c:rich>
      </c:tx>
    </c:title>
    <c:plotArea>
      <c:lineChart>
        <c:grouping val="standard"/>
        <c:ser>
          <c:idx val="0"/>
          <c:order val="0"/>
          <c:tx>
            <c:v>I_pitch_com_kg_m2</c:v>
          </c:tx>
          <c:marker>
            <c:symbol val="none"/>
          </c:marker>
          <c:cat>
            <c:strRef>
              <c:f>'Summary'!$E$19:$E$41</c:f>
              <c:strCache>
                <c:ptCount val="0"/>
              </c:strCache>
            </c:strRef>
          </c:cat>
          <c:val>
            <c:numRef>
              <c:f>'Summary'!$F$19:$F$41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I_pitch_upper_kg_m2</c:v>
          </c:tx>
          <c:marker>
            <c:symbol val="none"/>
          </c:marker>
          <c:cat>
            <c:strRef>
              <c:f>'Summary'!$E$19:$E$41</c:f>
              <c:strCache>
                <c:ptCount val="0"/>
              </c:strCache>
            </c:strRef>
          </c:cat>
          <c:val>
            <c:numRef>
              <c:f>'Summary'!$G$19:$G$41</c:f>
              <c:numCache>
                <c:formatCode>0.000000</c:formatCode>
                <c:ptCount val="0"/>
              </c:numCache>
            </c:numRef>
          </c:val>
        </c:ser>
        <c:ser>
          <c:idx val="2"/>
          <c:order val="2"/>
          <c:tx>
            <c:v>I_pitch_wheel_kg_m2</c:v>
          </c:tx>
          <c:marker>
            <c:symbol val="none"/>
          </c:marker>
          <c:cat>
            <c:strRef>
              <c:f>'Summary'!$E$19:$E$41</c:f>
              <c:strCache>
                <c:ptCount val="0"/>
              </c:strCache>
            </c:strRef>
          </c:cat>
          <c:val>
            <c:numRef>
              <c:f>'Summary'!$H$19:$H$41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l0 (m)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Ixx (kg·m²)</a:t>
                </a:r>
              </a:p>
            </c:rich>
          </c:tx>
        </c:title>
        <c:numFmt formatCode="0.0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7fb791a23f446c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15c6a6a9494a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CadTable" displayName="RawCadTable" ref="A1:AW26" headerRowCount="1" totalsRowCount="0" totalsRowShown="0">
  <x:tableColumns count="49">
    <x:tableColumn id="1" name="﻿sample_id"/>
    <x:tableColumn id="2" name="requested_l0_m"/>
    <x:tableColumn id="3" name="actual_length_angle_deg"/>
    <x:tableColumn id="4" name="direction_angle_deg"/>
    <x:tableColumn id="5" name="rebuild_ok"/>
    <x:tableColumn id="6" name="length_residual_m"/>
    <x:tableColumn id="7" name="point1_x_m"/>
    <x:tableColumn id="8" name="point1_y_m"/>
    <x:tableColumn id="9" name="point1_z_m"/>
    <x:tableColumn id="10" name="point2_x_m"/>
    <x:tableColumn id="11" name="point2_y_m"/>
    <x:tableColumn id="12" name="point2_z_m"/>
    <x:tableColumn id="13" name="point2_drift_m"/>
    <x:tableColumn id="14" name="mass_kg"/>
    <x:tableColumn id="15" name="volume_m3"/>
    <x:tableColumn id="16" name="surface_area_m2"/>
    <x:tableColumn id="17" name="com_x_m"/>
    <x:tableColumn id="18" name="com_y_m"/>
    <x:tableColumn id="19" name="com_z_m"/>
    <x:tableColumn id="20" name="icom_xx_kg_m2"/>
    <x:tableColumn id="21" name="icom_xy_kg_m2"/>
    <x:tableColumn id="22" name="icom_xz_kg_m2"/>
    <x:tableColumn id="23" name="icom_yx_kg_m2"/>
    <x:tableColumn id="24" name="icom_yy_kg_m2"/>
    <x:tableColumn id="25" name="icom_yz_kg_m2"/>
    <x:tableColumn id="26" name="icom_zx_kg_m2"/>
    <x:tableColumn id="27" name="icom_zy_kg_m2"/>
    <x:tableColumn id="28" name="icom_zz_kg_m2"/>
    <x:tableColumn id="29" name="iorigin_xx_kg_m2"/>
    <x:tableColumn id="30" name="iorigin_xy_kg_m2"/>
    <x:tableColumn id="31" name="iorigin_xz_kg_m2"/>
    <x:tableColumn id="32" name="iorigin_yx_kg_m2"/>
    <x:tableColumn id="33" name="iorigin_yy_kg_m2"/>
    <x:tableColumn id="34" name="iorigin_yz_kg_m2"/>
    <x:tableColumn id="35" name="iorigin_zx_kg_m2"/>
    <x:tableColumn id="36" name="iorigin_zy_kg_m2"/>
    <x:tableColumn id="37" name="iorigin_zz_kg_m2"/>
    <x:tableColumn id="38" name="principal_i1_kg_m2"/>
    <x:tableColumn id="39" name="principal_i2_kg_m2"/>
    <x:tableColumn id="40" name="principal_i3_kg_m2"/>
    <x:tableColumn id="41" name="principal_axis1_x"/>
    <x:tableColumn id="42" name="principal_axis1_y"/>
    <x:tableColumn id="43" name="principal_axis1_z"/>
    <x:tableColumn id="44" name="principal_axis2_x"/>
    <x:tableColumn id="45" name="principal_axis2_y"/>
    <x:tableColumn id="46" name="principal_axis2_z"/>
    <x:tableColumn id="47" name="principal_axis3_x"/>
    <x:tableColumn id="48" name="principal_axis3_y"/>
    <x:tableColumn id="49" name="principal_axis3_z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rivedCadTable" displayName="DerivedCadTable" ref="A1:AF26" headerRowCount="1" totalsRowCount="0" totalsRowShown="0">
  <x:tableColumns count="32">
    <x:tableColumn id="1" name="sample_id"/>
    <x:tableColumn id="2" name="requested_l0_m"/>
    <x:tableColumn id="3" name="actual_l0_m"/>
    <x:tableColumn id="4" name="virtual_leg_angle_deg"/>
    <x:tableColumn id="5" name="e_parallel_y"/>
    <x:tableColumn id="6" name="e_parallel_z"/>
    <x:tableColumn id="7" name="e_normal_y"/>
    <x:tableColumn id="8" name="e_normal_z"/>
    <x:tableColumn id="9" name="com_x_offset_m"/>
    <x:tableColumn id="10" name="com_y_from_upper_m"/>
    <x:tableColumn id="11" name="com_z_from_upper_m"/>
    <x:tableColumn id="12" name="com_parallel_from_upper_m"/>
    <x:tableColumn id="13" name="com_normal_from_leg_m"/>
    <x:tableColumn id="14" name="com_radius_upper_yz_m"/>
    <x:tableColumn id="15" name="com_radius_upper_3d_m"/>
    <x:tableColumn id="16" name="com_parallel_from_wheel_m"/>
    <x:tableColumn id="17" name="com_radius_wheel_yz_m"/>
    <x:tableColumn id="18" name="com_radius_wheel_3d_m"/>
    <x:tableColumn id="19" name="eta_axial_lw_over_l0"/>
    <x:tableColumn id="20" name="eta_radial_rho_w_over_l0"/>
    <x:tableColumn id="21" name="eccentric_angle_deg"/>
    <x:tableColumn id="22" name="I_pitch_com_kg_m2"/>
    <x:tableColumn id="23" name="I_pitch_upper_kg_m2"/>
    <x:tableColumn id="24" name="I_pitch_wheel_kg_m2"/>
    <x:tableColumn id="25" name="I_pitch_origin_raw_kg_m2"/>
    <x:tableColumn id="26" name="parallel_axis_QA_error_kg_m2"/>
    <x:tableColumn id="27" name="first_moment_parallel_kg_m"/>
    <x:tableColumn id="28" name="first_moment_normal_kg_m"/>
    <x:tableColumn id="29" name="mass_kg"/>
    <x:tableColumn id="30" name="point2_drift_m"/>
    <x:tableColumn id="31" name="length_residual_m"/>
    <x:tableColumn id="32" name="val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cuLookupTable" displayName="McuLookupTable" ref="A1:R24" headerRowCount="1" totalsRowCount="0" totalsRowShown="0">
  <x:tableColumns count="18">
    <x:tableColumn id="1" name="l0_m"/>
    <x:tableColumn id="2" name="mass_kg"/>
    <x:tableColumn id="3" name="com_parallel_upper_m"/>
    <x:tableColumn id="4" name="com_normal_m"/>
    <x:tableColumn id="5" name="rho_upper_yz_m"/>
    <x:tableColumn id="6" name="l_w_parallel_m"/>
    <x:tableColumn id="7" name="rho_wheel_yz_m"/>
    <x:tableColumn id="8" name="eta_axial"/>
    <x:tableColumn id="9" name="eta_radial"/>
    <x:tableColumn id="10" name="I_pitch_com_kg_m2"/>
    <x:tableColumn id="11" name="I_pitch_upper_kg_m2"/>
    <x:tableColumn id="12" name="I_pitch_wheel_kg_m2"/>
    <x:tableColumn id="13" name="virtual_leg_angle_deg"/>
    <x:tableColumn id="14" name="eccentric_angle_deg"/>
    <x:tableColumn id="15" name="length_driver_angle_deg"/>
    <x:tableColumn id="16" name="point2_drift_m"/>
    <x:tableColumn id="17" name="length_residual_m"/>
    <x:tableColumn id="18" name="val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a5588245074c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dd8fd646b741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5d258c1bee47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53b8fdfa63548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</x:cols>
  <x:sheetData>
    <x:row r="1">
      <x:c r="A1" s="16" t="str">
        <x:v>﻿sample_id</x:v>
      </x:c>
      <x:c r="B1" s="16" t="str">
        <x:v>requested_l0_m</x:v>
      </x:c>
      <x:c r="C1" s="16" t="str">
        <x:v>actual_length_angle_deg</x:v>
      </x:c>
      <x:c r="D1" s="16" t="str">
        <x:v>direction_angle_deg</x:v>
      </x:c>
      <x:c r="E1" s="16" t="str">
        <x:v>rebuild_ok</x:v>
      </x:c>
      <x:c r="F1" s="16" t="str">
        <x:v>length_residual_m</x:v>
      </x:c>
      <x:c r="G1" s="16" t="str">
        <x:v>point1_x_m</x:v>
      </x:c>
      <x:c r="H1" s="16" t="str">
        <x:v>point1_y_m</x:v>
      </x:c>
      <x:c r="I1" s="16" t="str">
        <x:v>point1_z_m</x:v>
      </x:c>
      <x:c r="J1" s="16" t="str">
        <x:v>point2_x_m</x:v>
      </x:c>
      <x:c r="K1" s="16" t="str">
        <x:v>point2_y_m</x:v>
      </x:c>
      <x:c r="L1" s="16" t="str">
        <x:v>point2_z_m</x:v>
      </x:c>
      <x:c r="M1" s="16" t="str">
        <x:v>point2_drift_m</x:v>
      </x:c>
      <x:c r="N1" s="16" t="str">
        <x:v>mass_kg</x:v>
      </x:c>
      <x:c r="O1" s="16" t="str">
        <x:v>volume_m3</x:v>
      </x:c>
      <x:c r="P1" s="16" t="str">
        <x:v>surface_area_m2</x:v>
      </x:c>
      <x:c r="Q1" s="16" t="str">
        <x:v>com_x_m</x:v>
      </x:c>
      <x:c r="R1" s="16" t="str">
        <x:v>com_y_m</x:v>
      </x:c>
      <x:c r="S1" s="16" t="str">
        <x:v>com_z_m</x:v>
      </x:c>
      <x:c r="T1" s="16" t="str">
        <x:v>icom_xx_kg_m2</x:v>
      </x:c>
      <x:c r="U1" s="16" t="str">
        <x:v>icom_xy_kg_m2</x:v>
      </x:c>
      <x:c r="V1" s="16" t="str">
        <x:v>icom_xz_kg_m2</x:v>
      </x:c>
      <x:c r="W1" s="16" t="str">
        <x:v>icom_yx_kg_m2</x:v>
      </x:c>
      <x:c r="X1" s="16" t="str">
        <x:v>icom_yy_kg_m2</x:v>
      </x:c>
      <x:c r="Y1" s="16" t="str">
        <x:v>icom_yz_kg_m2</x:v>
      </x:c>
      <x:c r="Z1" s="16" t="str">
        <x:v>icom_zx_kg_m2</x:v>
      </x:c>
      <x:c r="AA1" s="16" t="str">
        <x:v>icom_zy_kg_m2</x:v>
      </x:c>
      <x:c r="AB1" s="16" t="str">
        <x:v>icom_zz_kg_m2</x:v>
      </x:c>
      <x:c r="AC1" s="16" t="str">
        <x:v>iorigin_xx_kg_m2</x:v>
      </x:c>
      <x:c r="AD1" s="16" t="str">
        <x:v>iorigin_xy_kg_m2</x:v>
      </x:c>
      <x:c r="AE1" s="16" t="str">
        <x:v>iorigin_xz_kg_m2</x:v>
      </x:c>
      <x:c r="AF1" s="16" t="str">
        <x:v>iorigin_yx_kg_m2</x:v>
      </x:c>
      <x:c r="AG1" s="16" t="str">
        <x:v>iorigin_yy_kg_m2</x:v>
      </x:c>
      <x:c r="AH1" s="16" t="str">
        <x:v>iorigin_yz_kg_m2</x:v>
      </x:c>
      <x:c r="AI1" s="16" t="str">
        <x:v>iorigin_zx_kg_m2</x:v>
      </x:c>
      <x:c r="AJ1" s="16" t="str">
        <x:v>iorigin_zy_kg_m2</x:v>
      </x:c>
      <x:c r="AK1" s="16" t="str">
        <x:v>iorigin_zz_kg_m2</x:v>
      </x:c>
      <x:c r="AL1" s="16" t="str">
        <x:v>principal_i1_kg_m2</x:v>
      </x:c>
      <x:c r="AM1" s="16" t="str">
        <x:v>principal_i2_kg_m2</x:v>
      </x:c>
      <x:c r="AN1" s="16" t="str">
        <x:v>principal_i3_kg_m2</x:v>
      </x:c>
      <x:c r="AO1" s="16" t="str">
        <x:v>principal_axis1_x</x:v>
      </x:c>
      <x:c r="AP1" s="16" t="str">
        <x:v>principal_axis1_y</x:v>
      </x:c>
      <x:c r="AQ1" s="16" t="str">
        <x:v>principal_axis1_z</x:v>
      </x:c>
      <x:c r="AR1" s="16" t="str">
        <x:v>principal_axis2_x</x:v>
      </x:c>
      <x:c r="AS1" s="16" t="str">
        <x:v>principal_axis2_y</x:v>
      </x:c>
      <x:c r="AT1" s="16" t="str">
        <x:v>principal_axis2_z</x:v>
      </x:c>
      <x:c r="AU1" s="16" t="str">
        <x:v>principal_axis3_x</x:v>
      </x:c>
      <x:c r="AV1" s="16" t="str">
        <x:v>principal_axis3_y</x:v>
      </x:c>
      <x:c r="AW1" s="16" t="str">
        <x:v>principal_axis3_z</x:v>
      </x:c>
    </x:row>
    <x:row r="2">
      <x:c r="A2" s="78" t="str">
        <x:v>kinematic_min</x:v>
      </x:c>
      <x:c r="B2" s="79" t="n">
        <x:v>0.10576914099936059</x:v>
      </x:c>
      <x:c r="C2" s="79" t="n">
        <x:v>24.33101568029607</x:v>
      </x:c>
      <x:c r="D2" s="79" t="n">
        <x:v>28.275434051813985</x:v>
      </x:c>
      <x:c r="E2" s="79" t="n">
        <x:v>1</x:v>
      </x:c>
      <x:c r="F2" s="79" t="n">
        <x:v>0</x:v>
      </x:c>
      <x:c r="G2" s="79" t="n">
        <x:v>0.051500000000000025</x:v>
      </x:c>
      <x:c r="H2" s="79" t="n">
        <x:v>-0.10539081798635419</x:v>
      </x:c>
      <x:c r="I2" s="79" t="n">
        <x:v>-0.008937934431939604</x:v>
      </x:c>
      <x:c r="J2" s="79" t="n">
        <x:v>0.059500000000000025</x:v>
      </x:c>
      <x:c r="K2" s="79" t="n">
        <x:v>6.522560269672795e-16</x:v>
      </x:c>
      <x:c r="L2" s="79" t="n">
        <x:v>-2.688821387764051e-16</x:v>
      </x:c>
      <x:c r="M2" s="79" t="n">
        <x:v>0</x:v>
      </x:c>
      <x:c r="N2" s="79" t="n">
        <x:v>1.6409073231960014</x:v>
      </x:c>
      <x:c r="O2" s="79" t="n">
        <x:v>0.000547058294565851</x:v>
      </x:c>
      <x:c r="P2" s="79" t="n">
        <x:v>0.2638037286397194</x:v>
      </x:c>
      <x:c r="Q2" s="79" t="n">
        <x:v>0.04624278680920339</x:v>
      </x:c>
      <x:c r="R2" s="79" t="n">
        <x:v>-0.0024062094807648163</x:v>
      </x:c>
      <x:c r="S2" s="79" t="n">
        <x:v>0.08656899977617409</x:v>
      </x:c>
      <x:c r="T2" s="79" t="n">
        <x:v>0.014620930083686662</x:v>
      </x:c>
      <x:c r="U2" s="79" t="n">
        <x:v>-0.00007076806006853337</x:v>
      </x:c>
      <x:c r="V2" s="79" t="n">
        <x:v>0.00024562815870741116</x:v>
      </x:c>
      <x:c r="W2" s="79" t="n">
        <x:v>-0.00007076806006853337</x:v>
      </x:c>
      <x:c r="X2" s="79" t="n">
        <x:v>0.013191799434664697</x:v>
      </x:c>
      <x:c r="Y2" s="79" t="n">
        <x:v>0.001682902080052092</x:v>
      </x:c>
      <x:c r="Z2" s="79" t="n">
        <x:v>0.00024562815870741116</x:v>
      </x:c>
      <x:c r="AA2" s="79" t="n">
        <x:v>0.001682902080052092</x:v>
      </x:c>
      <x:c r="AB2" s="79" t="n">
        <x:v>0.002054858159429269</x:v>
      </x:c>
      <x:c r="AC2" s="79" t="n">
        <x:v>0.026927704759683948</x:v>
      </x:c>
      <x:c r="AD2" s="79" t="n">
        <x:v>-0.00025335154230931385</x:v>
      </x:c>
      <x:c r="AE2" s="79" t="n">
        <x:v>0.006814494901020818</x:v>
      </x:c>
      <x:c r="AF2" s="79" t="n">
        <x:v>-0.00025335154230931385</x:v>
      </x:c>
      <x:c r="AG2" s="79" t="n">
        <x:v>0.02899798207310742</x:v>
      </x:c>
      <x:c r="AH2" s="79" t="n">
        <x:v>0.0013410959190512277</x:v>
      </x:c>
      <x:c r="AI2" s="79" t="n">
        <x:v>0.006814494901020818</x:v>
      </x:c>
      <x:c r="AJ2" s="79" t="n">
        <x:v>0.0013410959190512277</x:v>
      </x:c>
      <x:c r="AK2" s="79" t="n">
        <x:v>0.005573267316928611</x:v>
      </x:c>
      <x:c r="AL2" s="79" t="n">
        <x:v>0.0018018885630923125</x:v>
      </x:c>
      <x:c r="AM2" s="79" t="n">
        <x:v>0.013431153395076756</x:v>
      </x:c>
      <x:c r="AN2" s="79" t="n">
        <x:v>0.014634545719611522</x:v>
      </x:c>
      <x:c r="AO2" s="79" t="n">
        <x:v>0.018146415820220238</x:v>
      </x:c>
      <x:c r="AP2" s="79" t="n">
        <x:v>0.14603246270122408</x:v>
      </x:c>
      <x:c r="AQ2" s="79" t="n">
        <x:v>0.9891133541866145</x:v>
      </x:c>
      <x:c r="AR2" s="79" t="n">
        <x:v>0.08833397525300855</x:v>
      </x:c>
      <x:c r="AS2" s="79" t="n">
        <x:v>-0.9856419649473103</x:v>
      </x:c>
      <x:c r="AT2" s="79" t="n">
        <x:v>0.14389935979984905</x:v>
      </x:c>
      <x:c r="AU2" s="79" t="n">
        <x:v>0.995925607868821</x:v>
      </x:c>
      <x:c r="AV2" s="79" t="n">
        <x:v>0.08476105693194914</x:v>
      </x:c>
      <x:c r="AW2" s="79" t="n">
        <x:v>-0.030785496892178656</x:v>
      </x:c>
    </x:row>
    <x:row r="3">
      <x:c r="A3" s="78" t="str">
        <x:v>lookup_11cm</x:v>
      </x:c>
      <x:c r="B3" s="79" t="n">
        <x:v>0.11</x:v>
      </x:c>
      <x:c r="C3" s="79" t="n">
        <x:v>25.469777926576217</x:v>
      </x:c>
      <x:c r="D3" s="79" t="n">
        <x:v>28.275434051813985</x:v>
      </x:c>
      <x:c r="E3" s="79" t="n">
        <x:v>1</x:v>
      </x:c>
      <x:c r="F3" s="79" t="n">
        <x:v>-1.5668116942757493e-9</x:v>
      </x:c>
      <x:c r="G3" s="79" t="n">
        <x:v>0.0515</x:v>
      </x:c>
      <x:c r="H3" s="79" t="n">
        <x:v>-0.10965649366953054</x:v>
      </x:c>
      <x:c r="I3" s="79" t="n">
        <x:v>-0.008686371590362285</x:v>
      </x:c>
      <x:c r="J3" s="79" t="n">
        <x:v>0.0595</x:v>
      </x:c>
      <x:c r="K3" s="79" t="n">
        <x:v>-9.992007221626409e-16</x:v>
      </x:c>
      <x:c r="L3" s="79" t="n">
        <x:v>3.226585665316861e-16</x:v>
      </x:c>
      <x:c r="M3" s="79" t="n">
        <x:v>1.7544230311589373e-15</x:v>
      </x:c>
      <x:c r="N3" s="79" t="n">
        <x:v>1.6409073231960014</x:v>
      </x:c>
      <x:c r="O3" s="79" t="n">
        <x:v>0.0005470582945658511</x:v>
      </x:c>
      <x:c r="P3" s="79" t="n">
        <x:v>0.2638037286397194</x:v>
      </x:c>
      <x:c r="Q3" s="79" t="n">
        <x:v>0.04624278680920337</x:v>
      </x:c>
      <x:c r="R3" s="79" t="n">
        <x:v>-0.004631333797327271</x:v>
      </x:c>
      <x:c r="S3" s="79" t="n">
        <x:v>0.08662287128213714</x:v>
      </x:c>
      <x:c r="T3" s="79" t="n">
        <x:v>0.014673833551578483</x:v>
      </x:c>
      <x:c r="U3" s="79" t="n">
        <x:v>-0.00008172214227560112</x:v>
      </x:c>
      <x:c r="V3" s="79" t="n">
        <x:v>0.00024675887467229203</x:v>
      </x:c>
      <x:c r="W3" s="79" t="n">
        <x:v>-0.00008172214227560112</x:v>
      </x:c>
      <x:c r="X3" s="79" t="n">
        <x:v>0.013233089254629073</x:v>
      </x:c>
      <x:c r="Y3" s="79" t="n">
        <x:v>0.0015102022931951825</x:v>
      </x:c>
      <x:c r="Z3" s="79" t="n">
        <x:v>0.00024675887467229203</x:v>
      </x:c>
      <x:c r="AA3" s="79" t="n">
        <x:v>0.0015102022931951825</x:v>
      </x:c>
      <x:c r="AB3" s="79" t="n">
        <x:v>0.002066471807356722</x:v>
      </x:c>
      <x:c r="AC3" s="79" t="n">
        <x:v>0.027021613706712834</x:v>
      </x:c>
      <x:c r="AD3" s="79" t="n">
        <x:v>-0.000433148341405468</x:v>
      </x:c>
      <x:c r="AE3" s="79" t="n">
        <x:v>0.006819713393727877</x:v>
      </x:c>
      <x:c r="AF3" s="79" t="n">
        <x:v>-0.000433148341405468</x:v>
      </x:c>
      <x:c r="AG3" s="79" t="n">
        <x:v>0.029054581733833948</x:v>
      </x:c>
      <x:c r="AH3" s="79" t="n">
        <x:v>0.0008519040263109171</x:v>
      </x:c>
      <x:c r="AI3" s="79" t="n">
        <x:v>0.006819713393727877</x:v>
      </x:c>
      <x:c r="AJ3" s="79" t="n">
        <x:v>0.0008519040263109171</x:v>
      </x:c>
      <x:c r="AK3" s="79" t="n">
        <x:v>0.0056105766032309755</x:v>
      </x:c>
      <x:c r="AL3" s="79" t="n">
        <x:v>0.0018615646566068672</x:v>
      </x:c>
      <x:c r="AM3" s="79" t="n">
        <x:v>0.013423462549391134</x:v>
      </x:c>
      <x:c r="AN3" s="79" t="n">
        <x:v>0.014688367407566237</x:v>
      </x:c>
      <x:c r="AO3" s="79" t="n">
        <x:v>0.018250340403758482</x:v>
      </x:c>
      <x:c r="AP3" s="79" t="n">
        <x:v>0.13149890100708883</x:v>
      </x:c>
      <x:c r="AQ3" s="79" t="n">
        <x:v>0.9911483058095165</x:v>
      </x:c>
      <x:c r="AR3" s="79" t="n">
        <x:v>0.09006954478468958</x:v>
      </x:c>
      <x:c r="AS3" s="79" t="n">
        <x:v>-0.9874990802699293</x:v>
      </x:c>
      <x:c r="AT3" s="79" t="n">
        <x:v>0.1293562660574378</x:v>
      </x:c>
      <x:c r="AU3" s="79" t="n">
        <x:v>0.9957682472229299</x:v>
      </x:c>
      <x:c r="AV3" s="79" t="n">
        <x:v>0.08691148082947206</x:v>
      </x:c>
      <x:c r="AW3" s="79" t="n">
        <x:v>-0.029866240516720082</x:v>
      </x:c>
    </x:row>
    <x:row r="4">
      <x:c r="A4" s="78" t="str">
        <x:v>lookup_12cm</x:v>
      </x:c>
      <x:c r="B4" s="79" t="n">
        <x:v>0.12</x:v>
      </x:c>
      <x:c r="C4" s="79" t="n">
        <x:v>28.148348415433407</x:v>
      </x:c>
      <x:c r="D4" s="79" t="n">
        <x:v>28.275434051813985</x:v>
      </x:c>
      <x:c r="E4" s="79" t="n">
        <x:v>1</x:v>
      </x:c>
      <x:c r="F4" s="79" t="n">
        <x:v>-7.737628254789186e-8</x:v>
      </x:c>
      <x:c r="G4" s="79" t="n">
        <x:v>0.051500000000000025</x:v>
      </x:c>
      <x:c r="H4" s="79" t="n">
        <x:v>-0.11970351004903727</x:v>
      </x:c>
      <x:c r="I4" s="79" t="n">
        <x:v>-0.008429182145288122</x:v>
      </x:c>
      <x:c r="J4" s="79" t="n">
        <x:v>0.059500000000000025</x:v>
      </x:c>
      <x:c r="K4" s="79" t="n">
        <x:v>-1.0200174038743626e-15</x:v>
      </x:c>
      <x:c r="L4" s="79" t="n">
        <x:v>2.8796409701215e-16</x:v>
      </x:c>
      <x:c r="M4" s="79" t="n">
        <x:v>1.7625482001382995e-15</x:v>
      </x:c>
      <x:c r="N4" s="79" t="n">
        <x:v>1.6409073231960016</x:v>
      </x:c>
      <x:c r="O4" s="79" t="n">
        <x:v>0.0005470582945658511</x:v>
      </x:c>
      <x:c r="P4" s="79" t="n">
        <x:v>0.2638037286397194</x:v>
      </x:c>
      <x:c r="Q4" s="79" t="n">
        <x:v>0.046242786809203414</x:v>
      </x:c>
      <x:c r="R4" s="79" t="n">
        <x:v>-0.009838292291430304</x:v>
      </x:c>
      <x:c r="S4" s="79" t="n">
        <x:v>0.08659644159720338</x:v>
      </x:c>
      <x:c r="T4" s="79" t="n">
        <x:v>0.014794529639208456</x:v>
      </x:c>
      <x:c r="U4" s="79" t="n">
        <x:v>-0.00010747120964765331</x:v>
      </x:c>
      <x:c r="V4" s="79" t="n">
        <x:v>0.000248680150881286</x:v>
      </x:c>
      <x:c r="W4" s="79" t="n">
        <x:v>-0.00010747120964765331</x:v>
      </x:c>
      <x:c r="X4" s="79" t="n">
        <x:v>0.013290844549251266</x:v>
      </x:c>
      <x:c r="Y4" s="79" t="n">
        <x:v>0.0010951022786645573</x:v>
      </x:c>
      <x:c r="Z4" s="79" t="n">
        <x:v>0.000248680150881286</x:v>
      </x:c>
      <x:c r="AA4" s="79" t="n">
        <x:v>0.0010951022786645573</x:v>
      </x:c>
      <x:c r="AB4" s="79" t="n">
        <x:v>0.002129412600364508</x:v>
      </x:c>
      <x:c r="AC4" s="79" t="n">
        <x:v>0.027258427962108502</x:v>
      </x:c>
      <x:c r="AD4" s="79" t="n">
        <x:v>-0.0008540020833025168</x:v>
      </x:c>
      <x:c r="AE4" s="79" t="n">
        <x:v>0.006819629182073786</x:v>
      </x:c>
      <x:c r="AF4" s="79" t="n">
        <x:v>-0.0008540020833025168</x:v>
      </x:c>
      <x:c r="AG4" s="79" t="n">
        <x:v>0.029104824738354212</x:v>
      </x:c>
      <x:c r="AH4" s="79" t="n">
        <x:v>-0.0003028869356899791</x:v>
      </x:c>
      <x:c r="AI4" s="79" t="n">
        <x:v>0.006819629182073786</x:v>
      </x:c>
      <x:c r="AJ4" s="79" t="n">
        <x:v>-0.0003028869356899791</x:v>
      </x:c>
      <x:c r="AK4" s="79" t="n">
        <x:v>0.0057971478541063975</x:v>
      </x:c>
      <x:c r="AL4" s="79" t="n">
        <x:v>0.0020185803184081183</x:v>
      </x:c>
      <x:c r="AM4" s="79" t="n">
        <x:v>0.013385137704658987</x:v>
      </x:c>
      <x:c r="AN4" s="79" t="n">
        <x:v>0.014811068765757086</x:v>
      </x:c>
      <x:c r="AO4" s="79" t="n">
        <x:v>0.018558711883985276</x:v>
      </x:c>
      <x:c r="AP4" s="79" t="n">
        <x:v>0.0965029795216218</x:v>
      </x:c>
      <x:c r="AQ4" s="79" t="n">
        <x:v>0.9951596601333157</x:v>
      </x:c>
      <x:c r="AR4" s="79" t="n">
        <x:v>0.09224354252551019</x:v>
      </x:c>
      <x:c r="AS4" s="79" t="n">
        <x:v>-0.9912512625735842</x:v>
      </x:c>
      <x:c r="AT4" s="79" t="n">
        <x:v>0.09440372507809026</x:v>
      </x:c>
      <x:c r="AU4" s="79" t="n">
        <x:v>0.995563510317424</x:v>
      </x:c>
      <x:c r="AV4" s="79" t="n">
        <x:v>0.09004504089468054</x:v>
      </x:c>
      <x:c r="AW4" s="79" t="n">
        <x:v>-0.02729812328208095</x:v>
      </x:c>
    </x:row>
    <x:row r="5">
      <x:c r="A5" s="78" t="str">
        <x:v>lookup_13cm</x:v>
      </x:c>
      <x:c r="B5" s="79" t="n">
        <x:v>0.13</x:v>
      </x:c>
      <x:c r="C5" s="79" t="n">
        <x:v>30.816510622449233</x:v>
      </x:c>
      <x:c r="D5" s="79" t="n">
        <x:v>28.275434051813985</x:v>
      </x:c>
      <x:c r="E5" s="79" t="n">
        <x:v>1</x:v>
      </x:c>
      <x:c r="F5" s="79" t="n">
        <x:v>-1.3673686433124388e-8</x:v>
      </x:c>
      <x:c r="G5" s="79" t="n">
        <x:v>0.05150000000000005</x:v>
      </x:c>
      <x:c r="H5" s="79" t="n">
        <x:v>-0.12971255041378496</x:v>
      </x:c>
      <x:c r="I5" s="79" t="n">
        <x:v>-0.008640064235483191</x:v>
      </x:c>
      <x:c r="J5" s="79" t="n">
        <x:v>0.05950000000000005</x:v>
      </x:c>
      <x:c r="K5" s="79" t="n">
        <x:v>-1.0269562977782698e-15</x:v>
      </x:c>
      <x:c r="L5" s="79" t="n">
        <x:v>2.42861286636753e-16</x:v>
      </x:c>
      <x:c r="M5" s="79" t="n">
        <x:v>1.7556781416332264e-15</x:v>
      </x:c>
      <x:c r="N5" s="79" t="n">
        <x:v>1.6409073231960016</x:v>
      </x:c>
      <x:c r="O5" s="79" t="n">
        <x:v>0.0005470582945658511</x:v>
      </x:c>
      <x:c r="P5" s="79" t="n">
        <x:v>0.2638037286397194</x:v>
      </x:c>
      <x:c r="Q5" s="79" t="n">
        <x:v>0.046242786809203434</x:v>
      </x:c>
      <x:c r="R5" s="79" t="n">
        <x:v>-0.014984728959839932</x:v>
      </x:c>
      <x:c r="S5" s="79" t="n">
        <x:v>0.08635044985331869</x:v>
      </x:c>
      <x:c r="T5" s="79" t="n">
        <x:v>0.01491241778378724</x:v>
      </x:c>
      <x:c r="U5" s="79" t="n">
        <x:v>-0.00013308179786535336</x:v>
      </x:c>
      <x:c r="V5" s="79" t="n">
        <x:v>0.00024952830216390994</x:v>
      </x:c>
      <x:c r="W5" s="79" t="n">
        <x:v>-0.00013308179786535336</x:v>
      </x:c>
      <x:c r="X5" s="79" t="n">
        <x:v>0.013296573226884873</x:v>
      </x:c>
      <x:c r="Y5" s="79" t="n">
        <x:v>0.0006742020365541812</x:v>
      </x:c>
      <x:c r="Z5" s="79" t="n">
        <x:v>0.00024952830216390994</x:v>
      </x:c>
      <x:c r="AA5" s="79" t="n">
        <x:v>0.0006742020365541812</x:v>
      </x:c>
      <x:c r="AB5" s="79" t="n">
        <x:v>0.002241572067309681</x:v>
      </x:c>
      <x:c r="AC5" s="79" t="n">
        <x:v>0.027516132239563215</x:v>
      </x:c>
      <x:c r="AD5" s="79" t="n">
        <x:v>-0.001270124942193842</x:v>
      </x:c>
      <x:c r="AE5" s="79" t="n">
        <x:v>0.006801811448461523</x:v>
      </x:c>
      <x:c r="AF5" s="79" t="n">
        <x:v>-0.001270124942193842</x:v>
      </x:c>
      <x:c r="AG5" s="79" t="n">
        <x:v>0.02904074346309584</x:v>
      </x:c>
      <x:c r="AH5" s="79" t="n">
        <x:v>-0.00144903044553005</x:v>
      </x:c>
      <x:c r="AI5" s="79" t="n">
        <x:v>0.006801811448461523</x:v>
      </x:c>
      <x:c r="AJ5" s="79" t="n">
        <x:v>-0.00144903044553005</x:v>
      </x:c>
      <x:c r="AK5" s="79" t="n">
        <x:v>0.006118933406819481</x:v>
      </x:c>
      <x:c r="AL5" s="79" t="n">
        <x:v>0.0021960388420465484</x:v>
      </x:c>
      <x:c r="AM5" s="79" t="n">
        <x:v>0.013323800972995145</x:v>
      </x:c>
      <x:c r="AN5" s="79" t="n">
        <x:v>0.014930723262940059</x:v>
      </x:c>
      <x:c r="AO5" s="79" t="n">
        <x:v>0.018951276490805323</x:v>
      </x:c>
      <x:c r="AP5" s="79" t="n">
        <x:v>0.06038702714804625</x:v>
      </x:c>
      <x:c r="AQ5" s="79" t="n">
        <x:v>0.9979951182604002</x:v>
      </x:c>
      <x:c r="AR5" s="79" t="n">
        <x:v>0.09244137412104542</x:v>
      </x:c>
      <x:c r="AS5" s="79" t="n">
        <x:v>-0.9940046180604218</x:v>
      </x:c>
      <x:c r="AT5" s="79" t="n">
        <x:v>0.05839016719592342</x:v>
      </x:c>
      <x:c r="AU5" s="79" t="n">
        <x:v>0.9955377649642339</x:v>
      </x:c>
      <x:c r="AV5" s="79" t="n">
        <x:v>0.09114947189521232</x:v>
      </x:c>
      <x:c r="AW5" s="79" t="n">
        <x:v>-0.024419916118650662</x:v>
      </x:c>
    </x:row>
    <x:row r="6">
      <x:c r="A6" s="78" t="str">
        <x:v>lookup_14cm</x:v>
      </x:c>
      <x:c r="B6" s="79" t="n">
        <x:v>0.14</x:v>
      </x:c>
      <x:c r="C6" s="79" t="n">
        <x:v>33.48167608919788</x:v>
      </x:c>
      <x:c r="D6" s="79" t="n">
        <x:v>28.275434051813985</x:v>
      </x:c>
      <x:c r="E6" s="79" t="n">
        <x:v>1</x:v>
      </x:c>
      <x:c r="F6" s="79" t="n">
        <x:v>3.143570681540808e-10</x:v>
      </x:c>
      <x:c r="G6" s="79" t="n">
        <x:v>0.05150000000000005</x:v>
      </x:c>
      <x:c r="H6" s="79" t="n">
        <x:v>-0.13968972436679958</x:v>
      </x:c>
      <x:c r="I6" s="79" t="n">
        <x:v>-0.009315631720277023</x:v>
      </x:c>
      <x:c r="J6" s="79" t="n">
        <x:v>0.05950000000000005</x:v>
      </x:c>
      <x:c r="K6" s="79" t="n">
        <x:v>-1.0408340855860843e-15</x:v>
      </x:c>
      <x:c r="L6" s="79" t="n">
        <x:v>1.8388068845354155e-16</x:v>
      </x:c>
      <x:c r="M6" s="79" t="n">
        <x:v>1.7528030918859572e-15</x:v>
      </x:c>
      <x:c r="N6" s="79" t="n">
        <x:v>1.6409073231960016</x:v>
      </x:c>
      <x:c r="O6" s="79" t="n">
        <x:v>0.0005470582945658511</x:v>
      </x:c>
      <x:c r="P6" s="79" t="n">
        <x:v>0.2638037286397194</x:v>
      </x:c>
      <x:c r="Q6" s="79" t="n">
        <x:v>0.046242786809203434</x:v>
      </x:c>
      <x:c r="R6" s="79" t="n">
        <x:v>-0.020080485581248392</x:v>
      </x:c>
      <x:c r="S6" s="79" t="n">
        <x:v>0.08588154615394163</x:v>
      </x:c>
      <x:c r="T6" s="79" t="n">
        <x:v>0.015030340321921477</x:v>
      </x:c>
      <x:c r="U6" s="79" t="n">
        <x:v>-0.0001586003708901871</x:v>
      </x:c>
      <x:c r="V6" s="79" t="n">
        <x:v>0.00024928335188432424</x:v>
      </x:c>
      <x:c r="W6" s="79" t="n">
        <x:v>-0.0001586003708901871</x:v>
      </x:c>
      <x:c r="X6" s="79" t="n">
        <x:v>0.013253595824492396</x:v>
      </x:c>
      <x:c r="Y6" s="79" t="n">
        <x:v>0.0002523187268700482</x:v>
      </x:c>
      <x:c r="Z6" s="79" t="n">
        <x:v>0.00024928335188432424</x:v>
      </x:c>
      <x:c r="AA6" s="79" t="n">
        <x:v>0.0002523187268700482</x:v>
      </x:c>
      <x:c r="AB6" s="79" t="n">
        <x:v>0.0024024720078363836</x:v>
      </x:c>
      <x:c r="AC6" s="79" t="n">
        <x:v>0.027794738295756134</x:v>
      </x:c>
      <x:c r="AD6" s="79" t="n">
        <x:v>-0.0016823101774631213</x:v>
      </x:c>
      <x:c r="AE6" s="79" t="n">
        <x:v>0.006765986025678506</x:v>
      </x:c>
      <x:c r="AF6" s="79" t="n">
        <x:v>-0.0016823101774631213</x:v>
      </x:c>
      <x:c r="AG6" s="79" t="n">
        <x:v>0.028865246024152975</x:v>
      </x:c>
      <x:c r="AH6" s="79" t="n">
        <x:v>-0.002577496755884613</x:v>
      </x:c>
      <x:c r="AI6" s="79" t="n">
        <x:v>0.006765986025678506</x:v>
      </x:c>
      <x:c r="AJ6" s="79" t="n">
        <x:v>-0.002577496755884613</x:v>
      </x:c>
      <x:c r="AK6" s="79" t="n">
        <x:v>0.006573036901955258</x:v>
      </x:c>
      <x:c r="AL6" s="79" t="n">
        <x:v>0.002391837137373724</x:v>
      </x:c>
      <x:c r="AM6" s="79" t="n">
        <x:v>0.01324438273732482</x:v>
      </x:c>
      <x:c r="AN6" s="79" t="n">
        <x:v>0.01505018827955167</x:v>
      </x:c>
      <x:c r="AO6" s="79" t="n">
        <x:v>0.019427386282545565</x:v>
      </x:c>
      <x:c r="AP6" s="79" t="n">
        <x:v>0.022935837157434375</x:v>
      </x:c>
      <x:c r="AQ6" s="79" t="n">
        <x:v>0.9995481599383377</x:v>
      </x:c>
      <x:c r="AR6" s="79" t="n">
        <x:v>0.0913538607617856</x:v>
      </x:c>
      <x:c r="AS6" s="79" t="n">
        <x:v>-0.9955955731571834</x:v>
      </x:c>
      <x:c r="AT6" s="79" t="n">
        <x:v>0.021069571275558956</x:v>
      </x:c>
      <x:c r="AU6" s="79" t="n">
        <x:v>0.9956289714477704</x:v>
      </x:c>
      <x:c r="AV6" s="79" t="n">
        <x:v>0.09090325672772798</x:v>
      </x:c>
      <x:c r="AW6" s="79" t="n">
        <x:v>-0.0214370970550522</x:v>
      </x:c>
    </x:row>
    <x:row r="7">
      <x:c r="A7" s="78" t="str">
        <x:v>lookup_15cm</x:v>
      </x:c>
      <x:c r="B7" s="79" t="n">
        <x:v>0.15</x:v>
      </x:c>
      <x:c r="C7" s="79" t="n">
        <x:v>36.14964968814626</x:v>
      </x:c>
      <x:c r="D7" s="79" t="n">
        <x:v>28.275434051813985</x:v>
      </x:c>
      <x:c r="E7" s="79" t="n">
        <x:v>1</x:v>
      </x:c>
      <x:c r="F7" s="79" t="n">
        <x:v>-9.726490918238184e-9</x:v>
      </x:c>
      <x:c r="G7" s="79" t="n">
        <x:v>0.05150000000000002</x:v>
      </x:c>
      <x:c r="H7" s="79" t="n">
        <x:v>-0.1496351310815871</x:v>
      </x:c>
      <x:c r="I7" s="79" t="n">
        <x:v>-0.010455841824041578</x:v>
      </x:c>
      <x:c r="J7" s="79" t="n">
        <x:v>0.059500000000000004</x:v>
      </x:c>
      <x:c r="K7" s="79" t="n">
        <x:v>-1.0547118733938987e-15</x:v>
      </x:c>
      <x:c r="L7" s="79" t="n">
        <x:v>1.3877787807814457e-16</x:v>
      </x:c>
      <x:c r="M7" s="79" t="n">
        <x:v>1.7550952784515113e-15</x:v>
      </x:c>
      <x:c r="N7" s="79" t="n">
        <x:v>1.6409073231960014</x:v>
      </x:c>
      <x:c r="O7" s="79" t="n">
        <x:v>0.0005470582945658511</x:v>
      </x:c>
      <x:c r="P7" s="79" t="n">
        <x:v>0.2638037286397194</x:v>
      </x:c>
      <x:c r="Q7" s="79" t="n">
        <x:v>0.04624278680920339</x:v>
      </x:c>
      <x:c r="R7" s="79" t="n">
        <x:v>-0.025130603164104093</x:v>
      </x:c>
      <x:c r="S7" s="79" t="n">
        <x:v>0.08518688655303121</x:v>
      </x:c>
      <x:c r="T7" s="79" t="n">
        <x:v>0.015150209936832078</x:v>
      </x:c>
      <x:c r="U7" s="79" t="n">
        <x:v>-0.0001840510886805867</x:v>
      </x:c>
      <x:c r="V7" s="79" t="n">
        <x:v>0.00024792545598173406</x:v>
      </x:c>
      <x:c r="W7" s="79" t="n">
        <x:v>-0.0001840510886805867</x:v>
      </x:c>
      <x:c r="X7" s="79" t="n">
        <x:v>0.013164159603638896</x:v>
      </x:c>
      <x:c r="Y7" s="79" t="n">
        <x:v>-0.00016582220878635557</x:v>
      </x:c>
      <x:c r="Z7" s="79" t="n">
        <x:v>0.00024792545598173406</x:v>
      </x:c>
      <x:c r="AA7" s="79" t="n">
        <x:v>-0.00016582220878635557</x:v>
      </x:c>
      <x:c r="AB7" s="79" t="n">
        <x:v>0.002611777843600497</x:v>
      </x:c>
      <x:c r="AC7" s="79" t="n">
        <x:v>0.02809426590618129</x:v>
      </x:c>
      <x:c r="AD7" s="79" t="n">
        <x:v>-0.002090964461432681</x:v>
      </x:c>
      <x:c r="AE7" s="79" t="n">
        <x:v>0.006711917270675685</x:v>
      </x:c>
      <x:c r="AF7" s="79" t="n">
        <x:v>-0.002090964461432681</x:v>
      </x:c>
      <x:c r="AG7" s="79" t="n">
        <x:v>0.02858081368228025</x:v>
      </x:c>
      <x:c r="AH7" s="79" t="n">
        <x:v>-0.003678673063154861</x:v>
      </x:c>
      <x:c r="AI7" s="79" t="n">
        <x:v>0.006711917270675685</x:v>
      </x:c>
      <x:c r="AJ7" s="79" t="n">
        <x:v>-0.003678673063154861</x:v>
      </x:c>
      <x:c r="AK7" s="79" t="n">
        <x:v>0.007156996854253136</x:v>
      </x:c>
      <x:c r="AL7" s="79" t="n">
        <x:v>0.0026041584747780416</x:v>
      </x:c>
      <x:c r="AM7" s="79" t="n">
        <x:v>0.013150585840904705</x:v>
      </x:c>
      <x:c r="AN7" s="79" t="n">
        <x:v>0.015171403068388682</x:v>
      </x:c>
      <x:c r="AO7" s="79" t="n">
        <x:v>0.019990137400636345</x:v>
      </x:c>
      <x:c r="AP7" s="79" t="n">
        <x:v>-0.016046108785779657</x:v>
      </x:c>
      <x:c r="AQ7" s="79" t="n">
        <x:v>0.9996714044122392</x:v>
      </x:c>
      <x:c r="AR7" s="79" t="n">
        <x:v>0.08945558835964337</x:v>
      </x:c>
      <x:c r="AS7" s="79" t="n">
        <x:v>-0.9958322185252215</x:v>
      </x:c>
      <x:c r="AT7" s="79" t="n">
        <x:v>-0.01777330184196925</x:v>
      </x:c>
      <x:c r="AU7" s="79" t="n">
        <x:v>0.9957901847869027</x:v>
      </x:c>
      <x:c r="AV7" s="79" t="n">
        <x:v>0.08978148439389179</x:v>
      </x:c>
      <x:c r="AW7" s="79" t="n">
        <x:v>-0.01847140877398493</x:v>
      </x:c>
    </x:row>
    <x:row r="8">
      <x:c r="A8" s="78" t="str">
        <x:v>lookup_16cm</x:v>
      </x:c>
      <x:c r="B8" s="79" t="n">
        <x:v>0.16</x:v>
      </x:c>
      <x:c r="C8" s="79" t="n">
        <x:v>38.82518691397492</x:v>
      </x:c>
      <x:c r="D8" s="79" t="n">
        <x:v>28.275434051813985</x:v>
      </x:c>
      <x:c r="E8" s="79" t="n">
        <x:v>1</x:v>
      </x:c>
      <x:c r="F8" s="79" t="n">
        <x:v>-3.2575178554594686e-8</x:v>
      </x:c>
      <x:c r="G8" s="79" t="n">
        <x:v>0.05150000000000002</x:v>
      </x:c>
      <x:c r="H8" s="79" t="n">
        <x:v>-0.15954458562966686</x:v>
      </x:c>
      <x:c r="I8" s="79" t="n">
        <x:v>-0.012062950393753463</x:v>
      </x:c>
      <x:c r="J8" s="79" t="n">
        <x:v>0.059500000000000004</x:v>
      </x:c>
      <x:c r="K8" s="79" t="n">
        <x:v>-1.0547118733938987e-15</x:v>
      </x:c>
      <x:c r="L8" s="79" t="n">
        <x:v>9.020562075079397e-17</x:v>
      </x:c>
      <x:c r="M8" s="79" t="n">
        <x:v>1.744453142432665e-15</x:v>
      </x:c>
      <x:c r="N8" s="79" t="n">
        <x:v>1.6409073231960014</x:v>
      </x:c>
      <x:c r="O8" s="79" t="n">
        <x:v>0.0005470582945658511</x:v>
      </x:c>
      <x:c r="P8" s="79" t="n">
        <x:v>0.2638037286397194</x:v>
      </x:c>
      <x:c r="Q8" s="79" t="n">
        <x:v>0.04624278680920339</x:v>
      </x:c>
      <x:c r="R8" s="79" t="n">
        <x:v>-0.030136724862552592</x:v>
      </x:c>
      <x:c r="S8" s="79" t="n">
        <x:v>0.08426377476820951</x:v>
      </x:c>
      <x:c r="T8" s="79" t="n">
        <x:v>0.015273356793650897</x:v>
      </x:c>
      <x:c r="U8" s="79" t="n">
        <x:v>-0.00020944206177857448</x:v>
      </x:c>
      <x:c r="V8" s="79" t="n">
        <x:v>0.0002454339203842063</x:v>
      </x:c>
      <x:c r="W8" s="79" t="n">
        <x:v>-0.00020944206177857448</x:v>
      </x:c>
      <x:c r="X8" s="79" t="n">
        <x:v>0.01302996536246051</x:v>
      </x:c>
      <x:c r="Y8" s="79" t="n">
        <x:v>-0.0005755665929126956</x:v>
      </x:c>
      <x:c r="Z8" s="79" t="n">
        <x:v>0.0002454339203842063</x:v>
      </x:c>
      <x:c r="AA8" s="79" t="n">
        <x:v>-0.0005755665929126956</x:v>
      </x:c>
      <x:c r="AB8" s="79" t="n">
        <x:v>0.0028691189415977008</x:v>
      </x:c>
      <x:c r="AC8" s="79" t="n">
        <x:v>0.02841473690232417</x:v>
      </x:c>
      <x:c r="AD8" s="79" t="n">
        <x:v>-0.002496220587390648</x:v>
      </x:c>
      <x:c r="AE8" s="79" t="n">
        <x:v>0.006639379895130476</x:v>
      </x:c>
      <x:c r="AF8" s="79" t="n">
        <x:v>-0.002496220587390648</x:v>
      </x:c>
      <x:c r="AG8" s="79" t="n">
        <x:v>0.02818994559592664</x:v>
      </x:c>
      <x:c r="AH8" s="79" t="n">
        <x:v>-0.004742542762017704</x:v>
      </x:c>
      <x:c r="AI8" s="79" t="n">
        <x:v>0.006639379895130476</x:v>
      </x:c>
      <x:c r="AJ8" s="79" t="n">
        <x:v>-0.004742542762017704</x:v>
      </x:c>
      <x:c r="AK8" s="79" t="n">
        <x:v>0.007868335936749626</x:v>
      </x:c>
      <x:c r="AL8" s="79" t="n">
        <x:v>0.0028313156460205257</x:v>
      </x:c>
      <x:c r="AM8" s="79" t="n">
        <x:v>0.013045399237427922</x:v>
      </x:c>
      <x:c r="AN8" s="79" t="n">
        <x:v>0.015295726214260619</x:v>
      </x:c>
      <x:c r="AO8" s="79" t="n">
        <x:v>0.020645575586811266</x:v>
      </x:c>
      <x:c r="AP8" s="79" t="n">
        <x:v>-0.05675653148485806</x:v>
      </x:c>
      <x:c r="AQ8" s="79" t="n">
        <x:v>0.9981745620594115</x:v>
      </x:c>
      <x:c r="AR8" s="79" t="n">
        <x:v>0.08706093522382038</x:v>
      </x:c>
      <x:c r="AS8" s="79" t="n">
        <x:v>-0.9944927936848426</x:v>
      </x:c>
      <x:c r="AT8" s="79" t="n">
        <x:v>-0.05834789513659591</x:v>
      </x:c>
      <x:c r="AU8" s="79" t="n">
        <x:v>0.9959890329550035</x:v>
      </x:c>
      <x:c r="AV8" s="79" t="n">
        <x:v>0.0881066367688936</x:v>
      </x:c>
      <x:c r="AW8" s="79" t="n">
        <x:v>-0.015590599431427564</x:v>
      </x:c>
    </x:row>
    <x:row r="9">
      <x:c r="A9" s="78" t="str">
        <x:v>lookup_17cm</x:v>
      </x:c>
      <x:c r="B9" s="79" t="n">
        <x:v>0.17</x:v>
      </x:c>
      <x:c r="C9" s="79" t="n">
        <x:v>41.51237701005073</x:v>
      </x:c>
      <x:c r="D9" s="79" t="n">
        <x:v>28.275434051813985</x:v>
      </x:c>
      <x:c r="E9" s="79" t="n">
        <x:v>1</x:v>
      </x:c>
      <x:c r="F9" s="79" t="n">
        <x:v>-6.313048128703258e-8</x:v>
      </x:c>
      <x:c r="G9" s="79" t="n">
        <x:v>0.051500000000000046</x:v>
      </x:c>
      <x:c r="H9" s="79" t="n">
        <x:v>-0.16941078423675637</x:v>
      </x:c>
      <x:c r="I9" s="79" t="n">
        <x:v>-0.014140888229806942</x:v>
      </x:c>
      <x:c r="J9" s="79" t="n">
        <x:v>0.05950000000000004</x:v>
      </x:c>
      <x:c r="K9" s="79" t="n">
        <x:v>-1.0408340855860843e-15</x:v>
      </x:c>
      <x:c r="L9" s="79" t="n">
        <x:v>4.163336342344337e-17</x:v>
      </x:c>
      <x:c r="M9" s="79" t="n">
        <x:v>1.7213850816498977e-15</x:v>
      </x:c>
      <x:c r="N9" s="79" t="n">
        <x:v>1.6409073231960016</x:v>
      </x:c>
      <x:c r="O9" s="79" t="n">
        <x:v>0.0005470582945658511</x:v>
      </x:c>
      <x:c r="P9" s="79" t="n">
        <x:v>0.2638037286397194</x:v>
      </x:c>
      <x:c r="Q9" s="79" t="n">
        <x:v>0.046242786809203434</x:v>
      </x:c>
      <x:c r="R9" s="79" t="n">
        <x:v>-0.03509804903246889</x:v>
      </x:c>
      <x:c r="S9" s="79" t="n">
        <x:v>0.08310947860358733</x:v>
      </x:c>
      <x:c r="T9" s="79" t="n">
        <x:v>0.015400734225484486</x:v>
      </x:c>
      <x:c r="U9" s="79" t="n">
        <x:v>-0.0002347696340355056</x:v>
      </x:c>
      <x:c r="V9" s="79" t="n">
        <x:v>0.00024178678240154288</x:v>
      </x:c>
      <x:c r="W9" s="79" t="n">
        <x:v>-0.0002347696340355056</x:v>
      </x:c>
      <x:c r="X9" s="79" t="n">
        <x:v>0.012852481092583903</x:v>
      </x:c>
      <x:c r="Y9" s="79" t="n">
        <x:v>-0.0009723078691678152</x:v>
      </x:c>
      <x:c r="Z9" s="79" t="n">
        <x:v>0.00024178678240154288</x:v>
      </x:c>
      <x:c r="AA9" s="79" t="n">
        <x:v>-0.0009723078691678152</x:v>
      </x:c>
      <x:c r="AB9" s="79" t="n">
        <x:v>0.003173980643307888</x:v>
      </x:c>
      <x:c r="AC9" s="79" t="n">
        <x:v>0.02875617488865568</x:v>
      </x:c>
      <x:c r="AD9" s="79" t="n">
        <x:v>-0.0028980140703299467</x:v>
      </x:c>
      <x:c r="AE9" s="79" t="n">
        <x:v>0.006548144616980195</x:v>
      </x:c>
      <x:c r="AF9" s="79" t="n">
        <x:v>-0.0028980140703299467</x:v>
      </x:c>
      <x:c r="AG9" s="79" t="n">
        <x:v>0.027695440813486065</x:v>
      </x:c>
      <x:c r="AH9" s="79" t="n">
        <x:v>-0.005758802623638012</x:v>
      </x:c>
      <x:c r="AI9" s="79" t="n">
        <x:v>0.006548144616980195</x:v>
      </x:c>
      <x:c r="AJ9" s="79" t="n">
        <x:v>-0.005758802623638012</x:v>
      </x:c>
      <x:c r="AK9" s="79" t="n">
        <x:v>0.008704278705521715</x:v>
      </x:c>
      <x:c r="AL9" s="79" t="n">
        <x:v>0.0030716204111461277</x:v>
      </x:c>
      <x:c r="AM9" s="79" t="n">
        <x:v>0.01293143827676704</x:v>
      </x:c>
      <x:c r="AN9" s="79" t="n">
        <x:v>0.015424137273463067</x:v>
      </x:c>
      <x:c r="AO9" s="79" t="n">
        <x:v>0.021402301142494563</x:v>
      </x:c>
      <x:c r="AP9" s="79" t="n">
        <x:v>-0.0994076743187958</x:v>
      </x:c>
      <x:c r="AQ9" s="79" t="n">
        <x:v>0.9948165940475332</x:v>
      </x:c>
      <x:c r="AR9" s="79" t="n">
        <x:v>0.08437261792687065</x:v>
      </x:c>
      <x:c r="AS9" s="79" t="n">
        <x:v>-0.9913152394720947</x:v>
      </x:c>
      <x:c r="AT9" s="79" t="n">
        <x:v>-0.10087297623521321</x:v>
      </x:c>
      <x:c r="AU9" s="79" t="n">
        <x:v>0.9962043981282016</x:v>
      </x:c>
      <x:c r="AV9" s="79" t="n">
        <x:v>0.08609419421140903</x:v>
      </x:c>
      <x:c r="AW9" s="79" t="n">
        <x:v>-0.012829141558027333</x:v>
      </x:c>
    </x:row>
    <x:row r="10">
      <x:c r="A10" s="78" t="str">
        <x:v>lookup_18cm</x:v>
      </x:c>
      <x:c r="B10" s="79" t="n">
        <x:v>0.18</x:v>
      </x:c>
      <x:c r="C10" s="79" t="n">
        <x:v>44.21489133411625</x:v>
      </x:c>
      <x:c r="D10" s="79" t="n">
        <x:v>28.275434051813985</x:v>
      </x:c>
      <x:c r="E10" s="79" t="n">
        <x:v>1</x:v>
      </x:c>
      <x:c r="F10" s="79" t="n">
        <x:v>-9.915478849098491e-8</x:v>
      </x:c>
      <x:c r="G10" s="79" t="n">
        <x:v>0.05150000000000006</x:v>
      </x:c>
      <x:c r="H10" s="79" t="n">
        <x:v>-0.1792240083379441</x:v>
      </x:c>
      <x:c r="I10" s="79" t="n">
        <x:v>-0.016694883634422036</x:v>
      </x:c>
      <x:c r="J10" s="79" t="n">
        <x:v>0.05950000000000005</x:v>
      </x:c>
      <x:c r="K10" s="79" t="n">
        <x:v>-1.0443035325380379e-15</x:v>
      </x:c>
      <x:c r="L10" s="79" t="n">
        <x:v>-1.0408340855860843e-17</x:v>
      </x:c>
      <x:c r="M10" s="79" t="n">
        <x:v>1.7163605143262012e-15</x:v>
      </x:c>
      <x:c r="N10" s="79" t="n">
        <x:v>1.6409073231960016</x:v>
      </x:c>
      <x:c r="O10" s="79" t="n">
        <x:v>0.000547058294565851</x:v>
      </x:c>
      <x:c r="P10" s="79" t="n">
        <x:v>0.2638037286397194</x:v>
      </x:c>
      <x:c r="Q10" s="79" t="n">
        <x:v>0.046242786809203434</x:v>
      </x:c>
      <x:c r="R10" s="79" t="n">
        <x:v>-0.04001193548105037</x:v>
      </x:c>
      <x:c r="S10" s="79" t="n">
        <x:v>0.08172112929784488</x:v>
      </x:c>
      <x:c r="T10" s="79" t="n">
        <x:v>0.01553304434795158</x:v>
      </x:c>
      <x:c r="U10" s="79" t="n">
        <x:v>-0.00026002110500635364</x:v>
      </x:c>
      <x:c r="V10" s="79" t="n">
        <x:v>0.0002369606128324221</x:v>
      </x:c>
      <x:c r="W10" s="79" t="n">
        <x:v>-0.00026002110500635364</x:v>
      </x:c>
      <x:c r="X10" s="79" t="n">
        <x:v>0.012633137948319717</x:v>
      </x:c>
      <x:c r="Y10" s="79" t="n">
        <x:v>-0.0013514650086850822</x:v>
      </x:c>
      <x:c r="Z10" s="79" t="n">
        <x:v>0.0002369606128324221</x:v>
      </x:c>
      <x:c r="AA10" s="79" t="n">
        <x:v>-0.0013514650086850822</x:v>
      </x:c>
      <x:c r="AB10" s="79" t="n">
        <x:v>0.0035256339100391792</x:v>
      </x:c>
      <x:c r="AC10" s="79" t="n">
        <x:v>0.02911860499266635</x:v>
      </x:c>
      <x:c r="AD10" s="79" t="n">
        <x:v>-0.003296131871639006</x:v>
      </x:c>
      <x:c r="AE10" s="79" t="n">
        <x:v>0.006437970325048738</x:v>
      </x:c>
      <x:c r="AF10" s="79" t="n">
        <x:v>-0.003296131871639006</x:v>
      </x:c>
      <x:c r="AG10" s="79" t="n">
        <x:v>0.02710058840067575</x:v>
      </x:c>
      <x:c r="AH10" s="79" t="n">
        <x:v>-0.006716937499481964</x:v>
      </x:c>
      <x:c r="AI10" s="79" t="n">
        <x:v>0.006437970325048738</x:v>
      </x:c>
      <x:c r="AJ10" s="79" t="n">
        <x:v>-0.006716937499481964</x:v>
      </x:c>
      <x:c r="AK10" s="79" t="n">
        <x:v>0.009661561222342708</x:v>
      </x:c>
      <x:c r="AL10" s="79" t="n">
        <x:v>0.0033232646217856423</x:v>
      </x:c>
      <x:c r="AM10" s="79" t="n">
        <x:v>0.01281119052368747</x:v>
      </x:c>
      <x:c r="AN10" s="79" t="n">
        <x:v>0.01555736106083732</x:v>
      </x:c>
      <x:c r="AO10" s="79" t="n">
        <x:v>0.02227124577260802</x:v>
      </x:c>
      <x:c r="AP10" s="79" t="n">
        <x:v>-0.14423247821294075</x:v>
      </x:c>
      <x:c r="AQ10" s="79" t="n">
        <x:v>0.9892931738571179</x:v>
      </x:c>
      <x:c r="AR10" s="79" t="n">
        <x:v>0.08151730542873287</x:v>
      </x:c>
      <x:c r="AS10" s="79" t="n">
        <x:v>-0.9859817368339587</x:v>
      </x:c>
      <x:c r="AT10" s="79" t="n">
        <x:v>-0.14558483281416734</x:v>
      </x:c>
      <x:c r="AU10" s="79" t="n">
        <x:v>0.9964230630246246</x:v>
      </x:c>
      <x:c r="AV10" s="79" t="n">
        <x:v>0.08388686940423956</x:v>
      </x:c>
      <x:c r="AW10" s="79" t="n">
        <x:v>-0.010201598609104669</x:v>
      </x:c>
    </x:row>
    <x:row r="11">
      <x:c r="A11" s="78" t="str">
        <x:v>lookup_19cm</x:v>
      </x:c>
      <x:c r="B11" s="79" t="n">
        <x:v>0.19</x:v>
      </x:c>
      <x:c r="C11" s="79" t="n">
        <x:v>46.936191486056956</x:v>
      </x:c>
      <x:c r="D11" s="79" t="n">
        <x:v>28.275434051813985</x:v>
      </x:c>
      <x:c r="E11" s="79" t="n">
        <x:v>1</x:v>
      </x:c>
      <x:c r="F11" s="79" t="n">
        <x:v>-2.0573542869328776e-12</x:v>
      </x:c>
      <x:c r="G11" s="79" t="n">
        <x:v>0.05150000000000003</x:v>
      </x:c>
      <x:c r="H11" s="79" t="n">
        <x:v>-0.18897268750766028</x:v>
      </x:c>
      <x:c r="I11" s="79" t="n">
        <x:v>-0.019731279110863226</x:v>
      </x:c>
      <x:c r="J11" s="79" t="n">
        <x:v>0.05950000000000001</x:v>
      </x:c>
      <x:c r="K11" s="79" t="n">
        <x:v>-1.0512424264419451e-15</x:v>
      </x:c>
      <x:c r="L11" s="79" t="n">
        <x:v>-6.938893903907228e-17</x:v>
      </x:c>
      <x:c r="M11" s="79" t="n">
        <x:v>1.715195939391036e-15</x:v>
      </x:c>
      <x:c r="N11" s="79" t="n">
        <x:v>1.6409073231960016</x:v>
      </x:c>
      <x:c r="O11" s="79" t="n">
        <x:v>0.0005470582945658512</x:v>
      </x:c>
      <x:c r="P11" s="79" t="n">
        <x:v>0.2638037286397194</x:v>
      </x:c>
      <x:c r="Q11" s="79" t="n">
        <x:v>0.046242786809203414</x:v>
      </x:c>
      <x:c r="R11" s="79" t="n">
        <x:v>-0.0448743634922517</x:v>
      </x:c>
      <x:c r="S11" s="79" t="n">
        <x:v>0.0800956365830069</x:v>
      </x:c>
      <x:c r="T11" s="79" t="n">
        <x:v>0.015670819349413345</x:v>
      </x:c>
      <x:c r="U11" s="79" t="n">
        <x:v>-0.00028517683287414356</x:v>
      </x:c>
      <x:c r="V11" s="79" t="n">
        <x:v>0.0002309303146499893</x:v>
      </x:c>
      <x:c r="W11" s="79" t="n">
        <x:v>-0.00028517683287414356</x:v>
      </x:c>
      <x:c r="X11" s="79" t="n">
        <x:v>0.012373455823034276</x:v>
      </x:c>
      <x:c r="Y11" s="79" t="n">
        <x:v>-0.0017084708807518715</x:v>
      </x:c>
      <x:c r="Z11" s="79" t="n">
        <x:v>0.0002309303146499893</x:v>
      </x:c>
      <x:c r="AA11" s="79" t="n">
        <x:v>-0.0017084708807518715</x:v>
      </x:c>
      <x:c r="AB11" s="79" t="n">
        <x:v>0.003923091036786392</x:v>
      </x:c>
      <x:c r="AC11" s="79" t="n">
        <x:v>0.029502059171817686</x:v>
      </x:c>
      <x:c r="AD11" s="79" t="n">
        <x:v>-0.003690249257054609</x:v>
      </x:c>
      <x:c r="AE11" s="79" t="n">
        <x:v>0.006308597432381218</x:v>
      </x:c>
      <x:c r="AF11" s="79" t="n">
        <x:v>-0.003690249257054609</x:v>
      </x:c>
      <x:c r="AG11" s="79" t="n">
        <x:v>0.026409295182891073</x:v>
      </x:c>
      <x:c r="AH11" s="79" t="n">
        <x:v>-0.007606286783397619</x:v>
      </x:c>
      <x:c r="AI11" s="79" t="n">
        <x:v>0.006308597432381218</x:v>
      </x:c>
      <x:c r="AJ11" s="79" t="n">
        <x:v>-0.007606286783397619</x:v>
      </x:c>
      <x:c r="AK11" s="79" t="n">
        <x:v>0.010736308619278725</x:v>
      </x:c>
      <x:c r="AL11" s="79" t="n">
        <x:v>0.0035842053836972385</x:v>
      </x:c>
      <x:c r="AM11" s="79" t="n">
        <x:v>0.012687211992800285</x:v>
      </x:c>
      <x:c r="AN11" s="79" t="n">
        <x:v>0.01569594883273644</x:v>
      </x:c>
      <x:c r="AO11" s="79" t="n">
        <x:v>0.023265469660428178</x:v>
      </x:c>
      <x:c r="AP11" s="79" t="n">
        <x:v>-0.1914861549315811</x:v>
      </x:c>
      <x:c r="AQ11" s="79" t="n">
        <x:v>0.981219532210299</x:v>
      </x:c>
      <x:c r="AR11" s="79" t="n">
        <x:v>0.0785698821934768</x:v>
      </x:c>
      <x:c r="AS11" s="79" t="n">
        <x:v>-0.9780991779264001</x:v>
      </x:c>
      <x:c r="AT11" s="79" t="n">
        <x:v>-0.1927401664205044</x:v>
      </x:c>
      <x:c r="AU11" s="79" t="n">
        <x:v>0.9966370911889559</x:v>
      </x:c>
      <x:c r="AV11" s="79" t="n">
        <x:v>0.08157849354590374</x:v>
      </x:c>
      <x:c r="AW11" s="79" t="n">
        <x:v>-0.007710892114280231</x:v>
      </x:c>
    </x:row>
    <x:row r="12">
      <x:c r="A12" s="78" t="str">
        <x:v>lookup_20cm</x:v>
      </x:c>
      <x:c r="B12" s="79" t="n">
        <x:v>0.2</x:v>
      </x:c>
      <x:c r="C12" s="79" t="n">
        <x:v>49.67951222285053</x:v>
      </x:c>
      <x:c r="D12" s="79" t="n">
        <x:v>28.275434051813985</x:v>
      </x:c>
      <x:c r="E12" s="79" t="n">
        <x:v>1</x:v>
      </x:c>
      <x:c r="F12" s="79" t="n">
        <x:v>-3.5572933487770797e-12</x:v>
      </x:c>
      <x:c r="G12" s="79" t="n">
        <x:v>0.05150000000000001</x:v>
      </x:c>
      <x:c r="H12" s="79" t="n">
        <x:v>-0.1986431496918928</x:v>
      </x:c>
      <x:c r="I12" s="79" t="n">
        <x:v>-0.023257237133025577</x:v>
      </x:c>
      <x:c r="J12" s="79" t="n">
        <x:v>0.05949999999999998</x:v>
      </x:c>
      <x:c r="K12" s="79" t="n">
        <x:v>-1.0443035325380379e-15</x:v>
      </x:c>
      <x:c r="L12" s="79" t="n">
        <x:v>-1.0408340855860843e-16</x:v>
      </x:c>
      <x:c r="M12" s="79" t="n">
        <x:v>1.7050531655582542e-15</x:v>
      </x:c>
      <x:c r="N12" s="79" t="n">
        <x:v>1.6409073231960016</x:v>
      </x:c>
      <x:c r="O12" s="79" t="n">
        <x:v>0.0005470582945658511</x:v>
      </x:c>
      <x:c r="P12" s="79" t="n">
        <x:v>0.2638037286397194</x:v>
      </x:c>
      <x:c r="Q12" s="79" t="n">
        <x:v>0.046242786809203414</x:v>
      </x:c>
      <x:c r="R12" s="79" t="n">
        <x:v>-0.049679932562369515</x:v>
      </x:c>
      <x:c r="S12" s="79" t="n">
        <x:v>0.07822973216084214</x:v>
      </x:c>
      <x:c r="T12" s="79" t="n">
        <x:v>0.015814465936028775</x:v>
      </x:c>
      <x:c r="U12" s="79" t="n">
        <x:v>-0.0003102100633713119</x:v>
      </x:c>
      <x:c r="V12" s="79" t="n">
        <x:v>0.00022366935882976504</x:v>
      </x:c>
      <x:c r="W12" s="79" t="n">
        <x:v>-0.0003102100633713119</x:v>
      </x:c>
      <x:c r="X12" s="79" t="n">
        <x:v>0.012075148054985831</x:v>
      </x:c>
      <x:c r="Y12" s="79" t="n">
        <x:v>-0.0020387437041457105</x:v>
      </x:c>
      <x:c r="Z12" s="79" t="n">
        <x:v>0.00022366935882976504</x:v>
      </x:c>
      <x:c r="AA12" s="79" t="n">
        <x:v>-0.0020387437041457105</x:v>
      </x:c>
      <x:c r="AB12" s="79" t="n">
        <x:v>0.0043650453914502625</x:v>
      </x:c>
      <x:c r="AC12" s="79" t="n">
        <x:v>0.029906556192670852</x:v>
      </x:c>
      <x:c r="AD12" s="79" t="n">
        <x:v>-0.00407992968139951</x:v>
      </x:c>
      <x:c r="AE12" s="79" t="n">
        <x:v>0.0061597514110666015</x:v>
      </x:c>
      <x:c r="AF12" s="79" t="n">
        <x:v>-0.00407992968139951</x:v>
      </x:c>
      <x:c r="AG12" s="79" t="n">
        <x:v>0.025626230564103687</x:v>
      </x:c>
      <x:c r="AH12" s="79" t="n">
        <x:v>-0.008416044390122645</x:v>
      </x:c>
      <x:c r="AI12" s="79" t="n">
        <x:v>0.0061597514110666015</x:v>
      </x:c>
      <x:c r="AJ12" s="79" t="n">
        <x:v>-0.008416044390122645</x:v>
      </x:c>
      <x:c r="AK12" s="79" t="n">
        <x:v>0.011923870258919273</x:v>
      </x:c>
      <x:c r="AL12" s="79" t="n">
        <x:v>0.003852023504596305</x:v>
      </x:c>
      <x:c r="AM12" s="79" t="n">
        <x:v>0.012562312830783564</x:v>
      </x:c>
      <x:c r="AN12" s="79" t="n">
        <x:v>0.015840323047084957</x:v>
      </x:c>
      <x:c r="AO12" s="79" t="n">
        <x:v>0.024399717996471823</x:v>
      </x:c>
      <x:c r="AP12" s="79" t="n">
        <x:v>-0.2414378656866842</x:v>
      </x:c>
      <x:c r="AQ12" s="79" t="n">
        <x:v>0.9701094839111466</x:v>
      </x:c>
      <x:c r="AR12" s="79" t="n">
        <x:v>0.07556955524955247</x:v>
      </x:c>
      <x:c r="AS12" s="79" t="n">
        <x:v>-0.9671764641733841</x:v>
      </x:c>
      <x:c r="AT12" s="79" t="n">
        <x:v>-0.24260859314635885</x:v>
      </x:c>
      <x:c r="AU12" s="79" t="n">
        <x:v>0.9968419614367553</x:v>
      </x:c>
      <x:c r="AV12" s="79" t="n">
        <x:v>0.07923032349883015</x:v>
      </x:c>
      <x:c r="AW12" s="79" t="n">
        <x:v>-0.005353480848311393</x:v>
      </x:c>
    </x:row>
    <x:row r="13">
      <x:c r="A13" s="78" t="str">
        <x:v>lookup_21cm</x:v>
      </x:c>
      <x:c r="B13" s="79" t="n">
        <x:v>0.21</x:v>
      </x:c>
      <x:c r="C13" s="79" t="n">
        <x:v>52.44814832642049</x:v>
      </x:c>
      <x:c r="D13" s="79" t="n">
        <x:v>28.275434051813985</x:v>
      </x:c>
      <x:c r="E13" s="79" t="n">
        <x:v>1</x:v>
      </x:c>
      <x:c r="F13" s="79" t="n">
        <x:v>-5.724254403816076e-12</x:v>
      </x:c>
      <x:c r="G13" s="79" t="n">
        <x:v>0.05150000000000004</x:v>
      </x:c>
      <x:c r="H13" s="79" t="n">
        <x:v>-0.20822044479973748</x:v>
      </x:c>
      <x:c r="I13" s="79" t="n">
        <x:v>-0.027280879109657097</x:v>
      </x:c>
      <x:c r="J13" s="79" t="n">
        <x:v>0.05950000000000001</x:v>
      </x:c>
      <x:c r="K13" s="79" t="n">
        <x:v>-1.0408340855860843e-15</x:v>
      </x:c>
      <x:c r="L13" s="79" t="n">
        <x:v>-1.5959455978986625e-16</x:v>
      </x:c>
      <x:c r="M13" s="79" t="n">
        <x:v>1.6966704150014343e-15</x:v>
      </x:c>
      <x:c r="N13" s="79" t="n">
        <x:v>1.6409073231960014</x:v>
      </x:c>
      <x:c r="O13" s="79" t="n">
        <x:v>0.0005470582945658511</x:v>
      </x:c>
      <x:c r="P13" s="79" t="n">
        <x:v>0.2638037286397194</x:v>
      </x:c>
      <x:c r="Q13" s="79" t="n">
        <x:v>0.04624278680920339</x:v>
      </x:c>
      <x:c r="R13" s="79" t="n">
        <x:v>-0.054422362977694</x:v>
      </x:c>
      <x:c r="S13" s="79" t="n">
        <x:v>0.07611982296807827</x:v>
      </x:c>
      <x:c r="T13" s="79" t="n">
        <x:v>0.015964309404712194</x:v>
      </x:c>
      <x:c r="U13" s="79" t="n">
        <x:v>-0.0003350894063841408</x:v>
      </x:c>
      <x:c r="V13" s="79" t="n">
        <x:v>0.0002151492812001688</x:v>
      </x:c>
      <x:c r="W13" s="79" t="n">
        <x:v>-0.0003350894063841408</x:v>
      </x:c>
      <x:c r="X13" s="79" t="n">
        <x:v>0.011740172031217352</x:v>
      </x:c>
      <x:c r="Y13" s="79" t="n">
        <x:v>-0.002337707942345025</x:v>
      </x:c>
      <x:c r="Z13" s="79" t="n">
        <x:v>0.0002151492812001688</x:v>
      </x:c>
      <x:c r="AA13" s="79" t="n">
        <x:v>-0.002337707942345025</x:v>
      </x:c>
      <x:c r="AB13" s="79" t="n">
        <x:v>0.004849864883902158</x:v>
      </x:c>
      <x:c r="AC13" s="79" t="n">
        <x:v>0.030332128452565783</x:v>
      </x:c>
      <x:c r="AD13" s="79" t="n">
        <x:v>-0.004464665249082897</x:v>
      </x:c>
      <x:c r="AE13" s="79" t="n">
        <x:v>0.0059911311548340096</x:v>
      </x:c>
      <x:c r="AF13" s="79" t="n">
        <x:v>-0.004464665249082897</x:v>
      </x:c>
      <x:c r="AG13" s="79" t="n">
        <x:v>0.024756870844011035</x:v>
      </x:c>
      <x:c r="AH13" s="79" t="n">
        <x:v>-0.009135364480140892</x:v>
      </x:c>
      <x:c r="AI13" s="79" t="n">
        <x:v>0.0059911311548340096</x:v>
      </x:c>
      <x:c r="AJ13" s="79" t="n">
        <x:v>-0.009135364480140892</x:v>
      </x:c>
      <x:c r="AK13" s="79" t="n">
        <x:v>0.013218802238906847</x:v>
      </x:c>
      <x:c r="AL13" s="79" t="n">
        <x:v>0.004123796823243166</x:v>
      </x:c>
      <x:c r="AM13" s="79" t="n">
        <x:v>0.012439727508702769</x:v>
      </x:c>
      <x:c r="AN13" s="79" t="n">
        <x:v>0.015990821987885723</x:v>
      </x:c>
      <x:c r="AO13" s="79" t="n">
        <x:v>0.02568967944133506</x:v>
      </x:c>
      <x:c r="AP13" s="79" t="n">
        <x:v>-0.2943575665529412</x:v>
      </x:c>
      <x:c r="AQ13" s="79" t="n">
        <x:v>0.9553500213969917</x:v>
      </x:c>
      <x:c r="AR13" s="79" t="n">
        <x:v>0.0725298734781293</x:v>
      </x:c>
      <x:c r="AS13" s="79" t="n">
        <x:v>-0.9525979367420917</x:v>
      </x:c>
      <x:c r="AT13" s="79" t="n">
        <x:v>-0.29545996068495745</x:v>
      </x:c>
      <x:c r="AU13" s="79" t="n">
        <x:v>0.997035334290339</x:v>
      </x:c>
      <x:c r="AV13" s="79" t="n">
        <x:v>0.07688168785699792</x:v>
      </x:c>
      <x:c r="AW13" s="79" t="n">
        <x:v>-0.0031222185719666593</x:v>
      </x:c>
    </x:row>
    <x:row r="14">
      <x:c r="A14" s="78" t="str">
        <x:v>lookup_22cm</x:v>
      </x:c>
      <x:c r="B14" s="79" t="n">
        <x:v>0.22</x:v>
      </x:c>
      <x:c r="C14" s="79" t="n">
        <x:v>55.24541465541055</x:v>
      </x:c>
      <x:c r="D14" s="79" t="n">
        <x:v>28.275434051813985</x:v>
      </x:c>
      <x:c r="E14" s="79" t="n">
        <x:v>1</x:v>
      </x:c>
      <x:c r="F14" s="79" t="n">
        <x:v>-8.746448010299446e-12</x:v>
      </x:c>
      <x:c r="G14" s="79" t="n">
        <x:v>0.05150000000000001</x:v>
      </x:c>
      <x:c r="H14" s="79" t="n">
        <x:v>-0.21768796842349236</x:v>
      </x:c>
      <x:c r="I14" s="79" t="n">
        <x:v>-0.031811136411713126</x:v>
      </x:c>
      <x:c r="J14" s="79" t="n">
        <x:v>0.05949999999999998</x:v>
      </x:c>
      <x:c r="K14" s="79" t="n">
        <x:v>-1.033895191682177e-15</x:v>
      </x:c>
      <x:c r="L14" s="79" t="n">
        <x:v>-2.0816681711721685e-16</x:v>
      </x:c>
      <x:c r="M14" s="79" t="n">
        <x:v>1.6877575712723597e-15</x:v>
      </x:c>
      <x:c r="N14" s="79" t="n">
        <x:v>1.6409073231960014</x:v>
      </x:c>
      <x:c r="O14" s="79" t="n">
        <x:v>0.000547058294565851</x:v>
      </x:c>
      <x:c r="P14" s="79" t="n">
        <x:v>0.2638037286397194</x:v>
      </x:c>
      <x:c r="Q14" s="79" t="n">
        <x:v>0.04624278680920337</x:v>
      </x:c>
      <x:c r="R14" s="79" t="n">
        <x:v>-0.05909437296631343</x:v>
      </x:c>
      <x:c r="S14" s="79" t="n">
        <x:v>0.07376202524155363</x:v>
      </x:c>
      <x:c r="T14" s="79" t="n">
        <x:v>0.016120611219069762</x:v>
      </x:c>
      <x:c r="U14" s="79" t="n">
        <x:v>-0.00035977813374873984</x:v>
      </x:c>
      <x:c r="V14" s="79" t="n">
        <x:v>0.00020533981170213497</x:v>
      </x:c>
      <x:c r="W14" s="79" t="n">
        <x:v>-0.00035977813374873984</x:v>
      </x:c>
      <x:c r="X14" s="79" t="n">
        <x:v>0.011370795527750114</x:v>
      </x:c>
      <x:c r="Y14" s="79" t="n">
        <x:v>-0.002600778678830957</x:v>
      </x:c>
      <x:c r="Z14" s="79" t="n">
        <x:v>0.00020533981170213497</x:v>
      </x:c>
      <x:c r="AA14" s="79" t="n">
        <x:v>-0.002600778678830957</x:v>
      </x:c>
      <x:c r="AB14" s="79" t="n">
        <x:v>0.005375543201726948</x:v>
      </x:c>
      <x:c r="AC14" s="79" t="n">
        <x:v>0.03077880562598665</x:v>
      </x:c>
      <x:c r="AD14" s="79" t="n">
        <x:v>-0.004843866690159647</x:v>
      </x:c>
      <x:c r="AE14" s="79" t="n">
        <x:v>0.0058024116931804145</x:v>
      </x:c>
      <x:c r="AF14" s="79" t="n">
        <x:v>-0.004843866690159647</x:v>
      </x:c>
      <x:c r="AG14" s="79" t="n">
        <x:v>0.023807612327850974</x:v>
      </x:c>
      <x:c r="AH14" s="79" t="n">
        <x:v>-0.009753363462443418</x:v>
      </x:c>
      <x:c r="AI14" s="79" t="n">
        <x:v>0.0058024116931804145</x:v>
      </x:c>
      <x:c r="AJ14" s="79" t="n">
        <x:v>-0.009753363462443418</x:v>
      </x:c>
      <x:c r="AK14" s="79" t="n">
        <x:v>0.014614737928487756</x:v>
      </x:c>
      <x:c r="AL14" s="79" t="n">
        <x:v>0.004395923428980935</x:v>
      </x:c>
      <x:c r="AM14" s="79" t="n">
        <x:v>0.012323308726833055</x:v>
      </x:c>
      <x:c r="AN14" s="79" t="n">
        <x:v>0.016147717792732788</x:v>
      </x:c>
      <x:c r="AO14" s="79" t="n">
        <x:v>0.027150358487405737</x:v>
      </x:c>
      <x:c r="AP14" s="79" t="n">
        <x:v>-0.3504803868337966</x:v>
      </x:c>
      <x:c r="AQ14" s="79" t="n">
        <x:v>0.9361764558451775</x:v>
      </x:c>
      <x:c r="AR14" s="79" t="n">
        <x:v>0.06944538972125326</x:v>
      </x:c>
      <x:c r="AS14" s="79" t="n">
        <x:v>-0.9335977243574007</x:v>
      </x:c>
      <x:c r="AT14" s="79" t="n">
        <x:v>-0.35152898446806086</x:v>
      </x:c>
      <x:c r="AU14" s="79" t="n">
        <x:v>0.9972162232336921</x:v>
      </x:c>
      <x:c r="AV14" s="79" t="n">
        <x:v>0.07455727677105153</x:v>
      </x:c>
      <x:c r="AW14" s="79" t="n">
        <x:v>-0.0010082658460010268</x:v>
      </x:c>
    </x:row>
    <x:row r="15">
      <x:c r="A15" s="78" t="str">
        <x:v>lookup_23cm</x:v>
      </x:c>
      <x:c r="B15" s="79" t="n">
        <x:v>0.23</x:v>
      </x:c>
      <x:c r="C15" s="79" t="n">
        <x:v>58.07474125579113</x:v>
      </x:c>
      <x:c r="D15" s="79" t="n">
        <x:v>28.275434051813985</x:v>
      </x:c>
      <x:c r="E15" s="79" t="n">
        <x:v>1</x:v>
      </x:c>
      <x:c r="F15" s="79" t="n">
        <x:v>-1.2898127010885219e-11</x:v>
      </x:c>
      <x:c r="G15" s="79" t="n">
        <x:v>0.051499999999999956</x:v>
      </x:c>
      <x:c r="H15" s="79" t="n">
        <x:v>-0.22702753885093913</x:v>
      </x:c>
      <x:c r="I15" s="79" t="n">
        <x:v>-0.0368577888288579</x:v>
      </x:c>
      <x:c r="J15" s="79" t="n">
        <x:v>0.05949999999999993</x:v>
      </x:c>
      <x:c r="K15" s="79" t="n">
        <x:v>-1.0200174038743626e-15</x:v>
      </x:c>
      <x:c r="L15" s="79" t="n">
        <x:v>-2.706168622523819e-16</x:v>
      </x:c>
      <x:c r="M15" s="79" t="n">
        <x:v>1.6750935775328828e-15</x:v>
      </x:c>
      <x:c r="N15" s="79" t="n">
        <x:v>1.6409073231960016</x:v>
      </x:c>
      <x:c r="O15" s="79" t="n">
        <x:v>0.0005470582945658511</x:v>
      </x:c>
      <x:c r="P15" s="79" t="n">
        <x:v>0.2638037286397194</x:v>
      </x:c>
      <x:c r="Q15" s="79" t="n">
        <x:v>0.04624278680920337</x:v>
      </x:c>
      <x:c r="R15" s="79" t="n">
        <x:v>-0.06368776519420385</x:v>
      </x:c>
      <x:c r="S15" s="79" t="n">
        <x:v>0.07115211474543906</x:v>
      </x:c>
      <x:c r="T15" s="79" t="n">
        <x:v>0.016283586670691016</x:v>
      </x:c>
      <x:c r="U15" s="79" t="n">
        <x:v>-0.0003842345855522612</x:v>
      </x:c>
      <x:c r="V15" s="79" t="n">
        <x:v>0.00019420867235011324</x:v>
      </x:c>
      <x:c r="W15" s="79" t="n">
        <x:v>-0.0003842345855522612</x:v>
      </x:c>
      <x:c r="X15" s="79" t="n">
        <x:v>0.010969643048284029</x:v>
      </x:c>
      <x:c r="Y15" s="79" t="n">
        <x:v>-0.002823369870963096</x:v>
      </x:c>
      <x:c r="Z15" s="79" t="n">
        <x:v>0.00019420867235011324</x:v>
      </x:c>
      <x:c r="AA15" s="79" t="n">
        <x:v>-0.002823369870963096</x:v>
      </x:c>
      <x:c r="AB15" s="79" t="n">
        <x:v>0.005939671132814297</x:v>
      </x:c>
      <x:c r="AC15" s="79" t="n">
        <x:v>0.031246618312317048</x:v>
      </x:c>
      <x:c r="AD15" s="79" t="n">
        <x:v>-0.00521687032996585</x:v>
      </x:c>
      <x:c r="AE15" s="79" t="n">
        <x:v>0.005593240212566877</x:v>
      </x:c>
      <x:c r="AF15" s="79" t="n">
        <x:v>-0.00521687032996585</x:v>
      </x:c>
      <x:c r="AG15" s="79" t="n">
        <x:v>0.0227858474736365</x:v>
      </x:c>
      <x:c r="AH15" s="79" t="n">
        <x:v>-0.010259172873670355</x:v>
      </x:c>
      <x:c r="AI15" s="79" t="n">
        <x:v>0.005593240212566877</x:v>
      </x:c>
      <x:c r="AJ15" s="79" t="n">
        <x:v>-0.010259172873670355</x:v>
      </x:c>
      <x:c r="AK15" s="79" t="n">
        <x:v>0.016104315469032637</x:v>
      </x:c>
      <x:c r="AL15" s="79" t="n">
        <x:v>0.004663943106884754</x:v>
      </x:c>
      <x:c r="AM15" s="79" t="n">
        <x:v>0.012217723191874868</x:v>
      </x:c>
      <x:c r="AN15" s="79" t="n">
        <x:v>0.01631123455302967</x:v>
      </x:c>
      <x:c r="AO15" s="79" t="n">
        <x:v>0.02879322782311338</x:v>
      </x:c>
      <x:c r="AP15" s="79" t="n">
        <x:v>-0.4099468905858018</x:v>
      </x:c>
      <x:c r="AQ15" s="79" t="n">
        <x:v>0.9116548123772281</x:v>
      </x:c>
      <x:c r="AR15" s="79" t="n">
        <x:v>0.06629611037926808</x:v>
      </x:c>
      <x:c r="AS15" s="79" t="n">
        <x:v>-0.9092416172009367</x:v>
      </x:c>
      <x:c r="AT15" s="79" t="n">
        <x:v>-0.410955602587926</x:v>
      </x:c>
      <x:c r="AU15" s="79" t="n">
        <x:v>0.997384467384622</x:v>
      </x:c>
      <x:c r="AV15" s="79" t="n">
        <x:v>0.07227190635965064</x:v>
      </x:c>
      <x:c r="AW15" s="79" t="n">
        <x:v>0.0009978832775914364</x:v>
      </x:c>
    </x:row>
    <x:row r="16">
      <x:c r="A16" s="78" t="str">
        <x:v>lookup_24cm</x:v>
      </x:c>
      <x:c r="B16" s="79" t="n">
        <x:v>0.24</x:v>
      </x:c>
      <x:c r="C16" s="79" t="n">
        <x:v>60.939737824776486</x:v>
      </x:c>
      <x:c r="D16" s="79" t="n">
        <x:v>28.275434051813985</x:v>
      </x:c>
      <x:c r="E16" s="79" t="n">
        <x:v>1</x:v>
      </x:c>
      <x:c r="F16" s="79" t="n">
        <x:v>-1.855879339096589e-11</x:v>
      </x:c>
      <x:c r="G16" s="79" t="n">
        <x:v>0.05149999999999998</x:v>
      </x:c>
      <x:c r="H16" s="79" t="n">
        <x:v>-0.2362193203432959</x:v>
      </x:c>
      <x:c r="I16" s="79" t="n">
        <x:v>-0.04243150583756869</x:v>
      </x:c>
      <x:c r="J16" s="79" t="n">
        <x:v>0.059499999999999956</x:v>
      </x:c>
      <x:c r="K16" s="79" t="n">
        <x:v>-1.0096090630185017e-15</x:v>
      </x:c>
      <x:c r="L16" s="79" t="n">
        <x:v>-3.122502256758253e-16</x:v>
      </x:c>
      <x:c r="M16" s="79" t="n">
        <x:v>1.6638783588759523e-15</x:v>
      </x:c>
      <x:c r="N16" s="79" t="n">
        <x:v>1.6409073231960012</x:v>
      </x:c>
      <x:c r="O16" s="79" t="n">
        <x:v>0.0005470582945658511</x:v>
      </x:c>
      <x:c r="P16" s="79" t="n">
        <x:v>0.2638037286397194</x:v>
      </x:c>
      <x:c r="Q16" s="79" t="n">
        <x:v>0.04624278680920338</x:v>
      </x:c>
      <x:c r="R16" s="79" t="n">
        <x:v>-0.06819342440726099</x:v>
      </x:c>
      <x:c r="S16" s="79" t="n">
        <x:v>0.06828548705415463</x:v>
      </x:c>
      <x:c r="T16" s="79" t="n">
        <x:v>0.01645341645831665</x:v>
      </x:c>
      <x:c r="U16" s="79" t="n">
        <x:v>-0.00040841213779825423</x:v>
      </x:c>
      <x:c r="V16" s="79" t="n">
        <x:v>0.00018172138450611014</x:v>
      </x:c>
      <x:c r="W16" s="79" t="n">
        <x:v>-0.00040841213779825423</x:v>
      </x:c>
      <x:c r="X16" s="79" t="n">
        <x:v>0.01053974144666194</x:v>
      </x:c>
      <x:c r="Y16" s="79" t="n">
        <x:v>-0.0030009030103955187</x:v>
      </x:c>
      <x:c r="Z16" s="79" t="n">
        <x:v>0.00018172138450611014</x:v>
      </x:c>
      <x:c r="AA16" s="79" t="n">
        <x:v>-0.0030009030103955187</x:v>
      </x:c>
      <x:c r="AB16" s="79" t="n">
        <x:v>0.0065394025220620235</x:v>
      </x:c>
      <x:c r="AC16" s="79" t="n">
        <x:v>0.031735598021228946</x:v>
      </x:c>
      <x:c r="AD16" s="79" t="n">
        <x:v>-0.0055829378778612425</x:v>
      </x:c>
      <x:c r="AE16" s="79" t="n">
        <x:v>0.005363232849955236</x:v>
      </x:c>
      <x:c r="AF16" s="79" t="n">
        <x:v>-0.0055829378778612425</x:v>
      </x:c>
      <x:c r="AG16" s="79" t="n">
        <x:v>0.021700049468235578</x:v>
      </x:c>
      <x:c r="AH16" s="79" t="n">
        <x:v>-0.01064198683807126</x:v>
      </x:c>
      <x:c r="AI16" s="79" t="n">
        <x:v>0.005363232849955236</x:v>
      </x:c>
      <x:c r="AJ16" s="79" t="n">
        <x:v>-0.01064198683807126</x:v>
      </x:c>
      <x:c r="AK16" s="79" t="n">
        <x:v>0.017679093183345457</x:v>
      </x:c>
      <x:c r="AL16" s="79" t="n">
        <x:v>0.004922362534591582</x:v>
      </x:c>
      <x:c r="AM16" s="79" t="n">
        <x:v>0.012128637639226458</x:v>
      </x:c>
      <x:c r="AN16" s="79" t="n">
        <x:v>0.01648156025322253</x:v>
      </x:c>
      <x:c r="AO16" s="79" t="n">
        <x:v>0.030621535094972795</x:v>
      </x:c>
      <x:c r="AP16" s="79" t="n">
        <x:v>-0.47270555325984553</x:v>
      </x:c>
      <x:c r="AQ16" s="79" t="n">
        <x:v>0.8806882430836299</x:v>
      </x:c>
      <x:c r="AR16" s="79" t="n">
        <x:v>0.06305145852770702</x:v>
      </x:c>
      <x:c r="AS16" s="79" t="n">
        <x:v>-0.8784331157127223</x:v>
      </x:c>
      <x:c r="AT16" s="79" t="n">
        <x:v>-0.47368742309329687</x:v>
      </x:c>
      <x:c r="AU16" s="79" t="n">
        <x:v>0.9975403927490637</x:v>
      </x:c>
      <x:c r="AV16" s="79" t="n">
        <x:v>0.07003371428492526</x:v>
      </x:c>
      <x:c r="AW16" s="79" t="n">
        <x:v>0.002905804105796524</x:v>
      </x:c>
    </x:row>
    <x:row r="17">
      <x:c r="A17" s="78" t="str">
        <x:v>lookup_25cm</x:v>
      </x:c>
      <x:c r="B17" s="79" t="n">
        <x:v>0.25</x:v>
      </x:c>
      <x:c r="C17" s="79" t="n">
        <x:v>63.84425872945508</x:v>
      </x:c>
      <x:c r="D17" s="79" t="n">
        <x:v>28.275434051813985</x:v>
      </x:c>
      <x:c r="E17" s="79" t="n">
        <x:v>1</x:v>
      </x:c>
      <x:c r="F17" s="79" t="n">
        <x:v>-2.6256996576989877e-11</x:v>
      </x:c>
      <x:c r="G17" s="79" t="n">
        <x:v>0.051499999999999976</x:v>
      </x:c>
      <x:c r="H17" s="79" t="n">
        <x:v>-0.24524169337084534</x:v>
      </x:c>
      <x:c r="I17" s="79" t="n">
        <x:v>-0.04854391640022773</x:v>
      </x:c>
      <x:c r="J17" s="79" t="n">
        <x:v>0.05949999999999996</x:v>
      </x:c>
      <x:c r="K17" s="79" t="n">
        <x:v>-9.853229343548264e-16</x:v>
      </x:c>
      <x:c r="L17" s="79" t="n">
        <x:v>-3.608224830031759e-16</x:v>
      </x:c>
      <x:c r="M17" s="79" t="n">
        <x:v>1.64134636490861e-15</x:v>
      </x:c>
      <x:c r="N17" s="79" t="n">
        <x:v>1.6409073231960016</x:v>
      </x:c>
      <x:c r="O17" s="79" t="n">
        <x:v>0.0005470582945658511</x:v>
      </x:c>
      <x:c r="P17" s="79" t="n">
        <x:v>0.2638037286397194</x:v>
      </x:c>
      <x:c r="Q17" s="79" t="n">
        <x:v>0.046242786809203414</x:v>
      </x:c>
      <x:c r="R17" s="79" t="n">
        <x:v>-0.07260128002988085</x:v>
      </x:c>
      <x:c r="S17" s="79" t="n">
        <x:v>0.06515711071261297</x:v>
      </x:c>
      <x:c r="T17" s="79" t="n">
        <x:v>0.016630255049486176</x:v>
      </x:c>
      <x:c r="U17" s="79" t="n">
        <x:v>-0.0004322590030733149</x:v>
      </x:c>
      <x:c r="V17" s="79" t="n">
        <x:v>0.00016784102245391406</x:v>
      </x:c>
      <x:c r="W17" s="79" t="n">
        <x:v>-0.0004322590030733149</x:v>
      </x:c>
      <x:c r="X17" s="79" t="n">
        <x:v>0.010084565221794335</x:v>
      </x:c>
      <x:c r="Y17" s="79" t="n">
        <x:v>-0.003128819745302964</x:v>
      </x:c>
      <x:c r="Z17" s="79" t="n">
        <x:v>0.00016784102245391406</x:v>
      </x:c>
      <x:c r="AA17" s="79" t="n">
        <x:v>-0.003128819745302964</x:v>
      </x:c>
      <x:c r="AB17" s="79" t="n">
        <x:v>0.00717141733809916</x:v>
      </x:c>
      <x:c r="AC17" s="79" t="n">
        <x:v>0.03224577719432042</x:v>
      </x:c>
      <x:c r="AD17" s="79" t="n">
        <x:v>-0.005941253389871393</x:v>
      </x:c>
      <x:c r="AE17" s="79" t="n">
        <x:v>0.005111970892175645</x:v>
      </x:c>
      <x:c r="AF17" s="79" t="n">
        <x:v>-0.005941253389871393</x:v>
      </x:c>
      <x:c r="AG17" s="79" t="n">
        <x:v>0.020559862261512962</x:v>
      </x:c>
      <x:c r="AH17" s="79" t="n">
        <x:v>-0.01089111483916885</x:v>
      </x:c>
      <x:c r="AI17" s="79" t="n">
        <x:v>0.005111970892175645</x:v>
      </x:c>
      <x:c r="AJ17" s="79" t="n">
        <x:v>-0.01089111483916885</x:v>
      </x:c>
      <x:c r="AK17" s="79" t="n">
        <x:v>0.019329459563159564</x:v>
      </x:c>
      <x:c r="AL17" s="79" t="n">
        <x:v>0.0051645378827236705</x:v>
      </x:c>
      <x:c r="AM17" s="79" t="n">
        <x:v>0.01206284430079137</x:v>
      </x:c>
      <x:c r="AN17" s="79" t="n">
        <x:v>0.016658855425864583</x:v>
      </x:c>
      <x:c r="AO17" s="79" t="n">
        <x:v>0.03262342386403108</x:v>
      </x:c>
      <x:c r="AP17" s="79" t="n">
        <x:v>-0.5383719346667091</x:v>
      </x:c>
      <x:c r="AQ17" s="79" t="n">
        <x:v>0.842075633288728</x:v>
      </x:c>
      <x:c r="AR17" s="79" t="n">
        <x:v>0.05967542577837968</x:v>
      </x:c>
      <x:c r="AS17" s="79" t="n">
        <x:v>-0.8399717493231358</x:v>
      </x:c>
      <x:c r="AT17" s="79" t="n">
        <x:v>-0.5393387654315238</x:v>
      </x:c>
      <x:c r="AU17" s="79" t="n">
        <x:v>0.9976845973420443</x:v>
      </x:c>
      <x:c r="AV17" s="79" t="n">
        <x:v>0.0678462991050794</x:v>
      </x:c>
      <x:c r="AW17" s="79" t="n">
        <x:v>0.004724820016385552</x:v>
      </x:c>
    </x:row>
    <x:row r="18">
      <x:c r="A18" s="78" t="str">
        <x:v>lookup_26cm</x:v>
      </x:c>
      <x:c r="B18" s="79" t="n">
        <x:v>0.26</x:v>
      </x:c>
      <x:c r="C18" s="79" t="n">
        <x:v>66.79247240165239</x:v>
      </x:c>
      <x:c r="D18" s="79" t="n">
        <x:v>28.275434051813985</x:v>
      </x:c>
      <x:c r="E18" s="79" t="n">
        <x:v>1</x:v>
      </x:c>
      <x:c r="F18" s="79" t="n">
        <x:v>-3.6735670061460723e-11</x:v>
      </x:c>
      <x:c r="G18" s="79" t="n">
        <x:v>0.05150000000000001</x:v>
      </x:c>
      <x:c r="H18" s="79" t="n">
        <x:v>-0.2540710707083796</x:v>
      </x:c>
      <x:c r="I18" s="79" t="n">
        <x:v>-0.05520770788572529</x:v>
      </x:c>
      <x:c r="J18" s="79" t="n">
        <x:v>0.0595</x:v>
      </x:c>
      <x:c r="K18" s="79" t="n">
        <x:v>-9.575673587391975e-16</x:v>
      </x:c>
      <x:c r="L18" s="79" t="n">
        <x:v>-4.0939474033052647e-16</x:v>
      </x:c>
      <x:c r="M18" s="79" t="n">
        <x:v>1.616182383377794e-15</x:v>
      </x:c>
      <x:c r="N18" s="79" t="n">
        <x:v>1.6409073231960016</x:v>
      </x:c>
      <x:c r="O18" s="79" t="n">
        <x:v>0.0005470582945658511</x:v>
      </x:c>
      <x:c r="P18" s="79" t="n">
        <x:v>0.2638037286397194</x:v>
      </x:c>
      <x:c r="Q18" s="79" t="n">
        <x:v>0.046242786809203414</x:v>
      </x:c>
      <x:c r="R18" s="79" t="n">
        <x:v>-0.07690023564397709</x:v>
      </x:c>
      <x:c r="S18" s="79" t="n">
        <x:v>0.061761470985885365</x:v>
      </x:c>
      <x:c r="T18" s="79" t="n">
        <x:v>0.016814236825113023</x:v>
      </x:c>
      <x:c r="U18" s="79" t="n">
        <x:v>-0.00045571787014787553</x:v>
      </x:c>
      <x:c r="V18" s="79" t="n">
        <x:v>0.00015252790234294154</x:v>
      </x:c>
      <x:c r="W18" s="79" t="n">
        <x:v>-0.00045571787014787553</x:v>
      </x:c>
      <x:c r="X18" s="79" t="n">
        <x:v>0.009608083654272051</x:v>
      </x:c>
      <x:c r="Y18" s="79" t="n">
        <x:v>-0.0032025985825474322</x:v>
      </x:c>
      <x:c r="Z18" s="79" t="n">
        <x:v>0.00015252790234294154</x:v>
      </x:c>
      <x:c r="AA18" s="79" t="n">
        <x:v>-0.0032025985825474322</x:v>
      </x:c>
      <x:c r="AB18" s="79" t="n">
        <x:v>0.007831880681248288</x:v>
      </x:c>
      <x:c r="AC18" s="79" t="n">
        <x:v>0.03277718926539037</x:v>
      </x:c>
      <x:c r="AD18" s="79" t="n">
        <x:v>-0.006290917557147313</x:v>
      </x:c>
      <x:c r="AE18" s="79" t="n">
        <x:v>0.00483899619658788</x:v>
      </x:c>
      <x:c r="AF18" s="79" t="n">
        <x:v>-0.006290917557147313</x:v>
      </x:c>
      <x:c r="AG18" s="79" t="n">
        <x:v>0.01937619922907069</x:v>
      </x:c>
      <x:c r="AH18" s="79" t="n">
        <x:v>-0.010996041431319187</x:v>
      </x:c>
      <x:c r="AI18" s="79" t="n">
        <x:v>0.00483899619658788</x:v>
      </x:c>
      <x:c r="AJ18" s="79" t="n">
        <x:v>-0.010996041431319187</x:v>
      </x:c>
      <x:c r="AK18" s="79" t="n">
        <x:v>0.021044534666671784</x:v>
      </x:c>
      <x:c r="AL18" s="79" t="n">
        <x:v>0.005382707423729682</x:v>
      </x:c>
      <x:c r="AM18" s="79" t="n">
        <x:v>0.012028234204676353</x:v>
      </x:c>
      <x:c r="AN18" s="79" t="n">
        <x:v>0.01684325953222728</x:v>
      </x:c>
      <x:c r="AO18" s="79" t="n">
        <x:v>0.03476343499071102</x:v>
      </x:c>
      <x:c r="AP18" s="79" t="n">
        <x:v>-0.6060576443033086</x:v>
      </x:c>
      <x:c r="AQ18" s="79" t="n">
        <x:v>0.7946607045583487</x:v>
      </x:c>
      <x:c r="AR18" s="79" t="n">
        <x:v>0.05613474221020947</x:v>
      </x:c>
      <x:c r="AS18" s="79" t="n">
        <x:v>-0.7927019032550626</x:v>
      </x:c>
      <x:c r="AT18" s="79" t="n">
        <x:v>-0.6070194257952497</x:v>
      </x:c>
      <x:c r="AU18" s="79" t="n">
        <x:v>0.9978178161892279</x:v>
      </x:c>
      <x:c r="AV18" s="79" t="n">
        <x:v>0.06571015414169822</x:v>
      </x:c>
      <x:c r="AW18" s="79" t="n">
        <x:v>0.006463848546672782</x:v>
      </x:c>
    </x:row>
    <x:row r="19">
      <x:c r="A19" s="78" t="str">
        <x:v>lookup_27cm</x:v>
      </x:c>
      <x:c r="B19" s="79" t="n">
        <x:v>0.27</x:v>
      </x:c>
      <x:c r="C19" s="79" t="n">
        <x:v>69.78893892488013</x:v>
      </x:c>
      <x:c r="D19" s="79" t="n">
        <x:v>28.275434051813985</x:v>
      </x:c>
      <x:c r="E19" s="79" t="n">
        <x:v>1</x:v>
      </x:c>
      <x:c r="F19" s="79" t="n">
        <x:v>-5.1051496363641036e-11</x:v>
      </x:c>
      <x:c r="G19" s="79" t="n">
        <x:v>0.05149999999999998</x:v>
      </x:c>
      <x:c r="H19" s="79" t="n">
        <x:v>-0.26268165399607496</x:v>
      </x:c>
      <x:c r="I19" s="79" t="n">
        <x:v>-0.06243675701314985</x:v>
      </x:c>
      <x:c r="J19" s="79" t="n">
        <x:v>0.05949999999999996</x:v>
      </x:c>
      <x:c r="K19" s="79" t="n">
        <x:v>-9.402201239794294e-16</x:v>
      </x:c>
      <x:c r="L19" s="79" t="n">
        <x:v>-4.510281037539698e-16</x:v>
      </x:c>
      <x:c r="M19" s="79" t="n">
        <x:v>1.6040752638292997e-15</x:v>
      </x:c>
      <x:c r="N19" s="79" t="n">
        <x:v>1.6409073231960019</x:v>
      </x:c>
      <x:c r="O19" s="79" t="n">
        <x:v>0.0005470582945658511</x:v>
      </x:c>
      <x:c r="P19" s="79" t="n">
        <x:v>0.2638037286397194</x:v>
      </x:c>
      <x:c r="Q19" s="79" t="n">
        <x:v>0.04624278680920337</x:v>
      </x:c>
      <x:c r="R19" s="79" t="n">
        <x:v>-0.08107806444531183</x:v>
      </x:c>
      <x:c r="S19" s="79" t="n">
        <x:v>0.05809250153461869</x:v>
      </x:c>
      <x:c r="T19" s="79" t="n">
        <x:v>0.017005480676546943</x:v>
      </x:c>
      <x:c r="U19" s="79" t="n">
        <x:v>-0.0004787253751238417</x:v>
      </x:c>
      <x:c r="V19" s="79" t="n">
        <x:v>0.0001357391924901485</x:v>
      </x:c>
      <x:c r="W19" s="79" t="n">
        <x:v>-0.0004787253751238417</x:v>
      </x:c>
      <x:c r="X19" s="79" t="n">
        <x:v>0.009114811702756603</x:v>
      </x:c>
      <x:c r="Y19" s="79" t="n">
        <x:v>-0.0032177760134671335</x:v>
      </x:c>
      <x:c r="Z19" s="79" t="n">
        <x:v>0.0001357391924901485</x:v>
      </x:c>
      <x:c r="AA19" s="79" t="n">
        <x:v>-0.0032177760134671335</x:v>
      </x:c>
      <x:c r="AB19" s="79" t="n">
        <x:v>0.008516396484197643</x:v>
      </x:c>
      <x:c r="AC19" s="79" t="n">
        <x:v>0.033329868763454396</x:v>
      </x:c>
      <x:c r="AD19" s="79" t="n">
        <x:v>-0.0066309392443261745</x:v>
      </x:c>
      <x:c r="AE19" s="79" t="n">
        <x:v>0.0045438056169052</x:v>
      </x:c>
      <x:c r="AF19" s="79" t="n">
        <x:v>-0.0066309392443261745</x:v>
      </x:c>
      <x:c r="AG19" s="79" t="n">
        <x:v>0.018161353766124762</x:v>
      </x:c>
      <x:c r="AH19" s="79" t="n">
        <x:v>-0.010946494767216824</x:v>
      </x:c>
      <x:c r="AI19" s="79" t="n">
        <x:v>0.0045438056169052</x:v>
      </x:c>
      <x:c r="AJ19" s="79" t="n">
        <x:v>-0.010946494767216824</x:v>
      </x:c>
      <x:c r="AK19" s="79" t="n">
        <x:v>0.022812059627681715</x:v>
      </x:c>
      <x:c r="AL19" s="79" t="n">
        <x:v>0.005568303784358549</x:v>
      </x:c>
      <x:c r="AM19" s="79" t="n">
        <x:v>0.012033489330908679</x:v>
      </x:c>
      <x:c r="AN19" s="79" t="n">
        <x:v>0.017034895748233914</x:v>
      </x:c>
      <x:c r="AO19" s="79" t="n">
        <x:v>0.03697495854071312</x:v>
      </x:c>
      <x:c r="AP19" s="79" t="n">
        <x:v>-0.6742230847117692</x:v>
      </x:c>
      <x:c r="AQ19" s="79" t="n">
        <x:v>0.7376015757051086</x:v>
      </x:c>
      <x:c r="AR19" s="79" t="n">
        <x:v>0.05241122996591073</x:v>
      </x:c>
      <x:c r="AS19" s="79" t="n">
        <x:v>-0.7357820779944008</x:v>
      </x:c>
      <x:c r="AT19" s="79" t="n">
        <x:v>-0.6751872308298655</x:v>
      </x:c>
      <x:c r="AU19" s="79" t="n">
        <x:v>0.9979408376323584</x:v>
      </x:c>
      <x:c r="AV19" s="79" t="n">
        <x:v>0.06362362567465174</x:v>
      </x:c>
      <x:c r="AW19" s="79" t="n">
        <x:v>0.008131349312311525</x:v>
      </x:c>
    </x:row>
    <x:row r="20">
      <x:c r="A20" s="78" t="str">
        <x:v>lookup_28cm</x:v>
      </x:c>
      <x:c r="B20" s="79" t="n">
        <x:v>0.28</x:v>
      </x:c>
      <x:c r="C20" s="79" t="n">
        <x:v>72.83870005789707</x:v>
      </x:c>
      <x:c r="D20" s="79" t="n">
        <x:v>28.275434051813985</x:v>
      </x:c>
      <x:c r="E20" s="79" t="n">
        <x:v>1</x:v>
      </x:c>
      <x:c r="F20" s="79" t="n">
        <x:v>-7.072503693805743e-11</x:v>
      </x:c>
      <x:c r="G20" s="79" t="n">
        <x:v>0.05149999999999998</x:v>
      </x:c>
      <x:c r="H20" s="79" t="n">
        <x:v>-0.27104512089227456</x:v>
      </x:c>
      <x:c r="I20" s="79" t="n">
        <x:v>-0.07024629812941632</x:v>
      </x:c>
      <x:c r="J20" s="79" t="n">
        <x:v>0.059499999999999956</x:v>
      </x:c>
      <x:c r="K20" s="79" t="n">
        <x:v>-9.211381657436846e-16</x:v>
      </x:c>
      <x:c r="L20" s="79" t="n">
        <x:v>-5.065392549852277e-16</x:v>
      </x:c>
      <x:c r="M20" s="79" t="n">
        <x:v>1.5927539092409249e-15</x:v>
      </x:c>
      <x:c r="N20" s="79" t="n">
        <x:v>1.6409073231960016</x:v>
      </x:c>
      <x:c r="O20" s="79" t="n">
        <x:v>0.000547058294565851</x:v>
      </x:c>
      <x:c r="P20" s="79" t="n">
        <x:v>0.2638037286397194</x:v>
      </x:c>
      <x:c r="Q20" s="79" t="n">
        <x:v>0.046242786809203414</x:v>
      </x:c>
      <x:c r="R20" s="79" t="n">
        <x:v>-0.08512126708223003</x:v>
      </x:c>
      <x:c r="S20" s="79" t="n">
        <x:v>0.05414350066369469</x:v>
      </x:c>
      <x:c r="T20" s="79" t="n">
        <x:v>0.017204093512527097</x:v>
      </x:c>
      <x:c r="U20" s="79" t="n">
        <x:v>-0.0005012113837673827</x:v>
      </x:c>
      <x:c r="V20" s="79" t="n">
        <x:v>0.00011742842641718425</x:v>
      </x:c>
      <x:c r="W20" s="79" t="n">
        <x:v>-0.0005012113837673827</x:v>
      </x:c>
      <x:c r="X20" s="79" t="n">
        <x:v>0.00860986658006247</x:v>
      </x:c>
      <x:c r="Y20" s="79" t="n">
        <x:v>-0.0031699726563645483</x:v>
      </x:c>
      <x:c r="Z20" s="79" t="n">
        <x:v>0.00011742842641718425</x:v>
      </x:c>
      <x:c r="AA20" s="79" t="n">
        <x:v>-0.0031699726563645483</x:v>
      </x:c>
      <x:c r="AB20" s="79" t="n">
        <x:v>0.009219954442871943</x:v>
      </x:c>
      <x:c r="AC20" s="79" t="n">
        <x:v>0.033903851464717034</x:v>
      </x:c>
      <x:c r="AD20" s="79" t="n">
        <x:v>-0.006960223984649137</x:v>
      </x:c>
      <x:c r="AE20" s="79" t="n">
        <x:v>0.004225844161169092</x:v>
      </x:c>
      <x:c r="AF20" s="79" t="n">
        <x:v>-0.006960223984649137</x:v>
      </x:c>
      <x:c r="AG20" s="79" t="n">
        <x:v>0.01692912558407432</x:v>
      </x:c>
      <x:c r="AH20" s="79" t="n">
        <x:v>-0.010732526238733253</x:v>
      </x:c>
      <x:c r="AI20" s="79" t="n">
        <x:v>0.004225844161169092</x:v>
      </x:c>
      <x:c r="AJ20" s="79" t="n">
        <x:v>-0.010732526238733253</x:v>
      </x:c>
      <x:c r="AK20" s="79" t="n">
        <x:v>0.024618270510994814</x:v>
      </x:c>
      <x:c r="AL20" s="79" t="n">
        <x:v>0.00571266141491825</x:v>
      </x:c>
      <x:c r="AM20" s="79" t="n">
        <x:v>0.012087378498074364</x:v>
      </x:c>
      <x:c r="AN20" s="79" t="n">
        <x:v>0.017233874622468844</x:v>
      </x:c>
      <x:c r="AO20" s="79" t="n">
        <x:v>-0.03915883885489589</x:v>
      </x:c>
      <x:c r="AP20" s="79" t="n">
        <x:v>0.7406605824419047</x:v>
      </x:c>
      <x:c r="AQ20" s="79" t="n">
        <x:v>-0.6707372711847425</x:v>
      </x:c>
      <x:c r="AR20" s="79" t="n">
        <x:v>-0.048516958218446246</x:v>
      </x:c>
      <x:c r="AS20" s="79" t="n">
        <x:v>0.669051095552001</x:v>
      </x:c>
      <x:c r="AT20" s="79" t="n">
        <x:v>0.7416311322388622</x:v>
      </x:c>
      <x:c r="AU20" s="79" t="n">
        <x:v>0.9980544524747965</x:v>
      </x:c>
      <x:c r="AV20" s="79" t="n">
        <x:v>0.0615835461587404</x:v>
      </x:c>
      <x:c r="AW20" s="79" t="n">
        <x:v>0.00973533449597159</x:v>
      </x:c>
    </x:row>
    <x:row r="21">
      <x:c r="A21" s="78" t="str">
        <x:v>lookup_29cm</x:v>
      </x:c>
      <x:c r="B21" s="79" t="n">
        <x:v>0.29</x:v>
      </x:c>
      <x:c r="C21" s="79" t="n">
        <x:v>75.94738683271795</x:v>
      </x:c>
      <x:c r="D21" s="79" t="n">
        <x:v>28.275434051813985</x:v>
      </x:c>
      <x:c r="E21" s="79" t="n">
        <x:v>1</x:v>
      </x:c>
      <x:c r="F21" s="79" t="n">
        <x:v>-9.797762601237991e-11</x:v>
      </x:c>
      <x:c r="G21" s="79" t="n">
        <x:v>0.05150000000000001</x:v>
      </x:c>
      <x:c r="H21" s="79" t="n">
        <x:v>-0.27913022764683326</x:v>
      </x:c>
      <x:c r="I21" s="79" t="n">
        <x:v>-0.07865313698130919</x:v>
      </x:c>
      <x:c r="J21" s="79" t="n">
        <x:v>0.05949999999999998</x:v>
      </x:c>
      <x:c r="K21" s="79" t="n">
        <x:v>-8.933825901280557e-16</x:v>
      </x:c>
      <x:c r="L21" s="79" t="n">
        <x:v>-5.620504062164855e-16</x:v>
      </x:c>
      <x:c r="M21" s="79" t="n">
        <x:v>1.5737470268884217e-15</x:v>
      </x:c>
      <x:c r="N21" s="79" t="n">
        <x:v>1.6409073231960014</x:v>
      </x:c>
      <x:c r="O21" s="79" t="n">
        <x:v>0.0005470582945658511</x:v>
      </x:c>
      <x:c r="P21" s="79" t="n">
        <x:v>0.2638037286397194</x:v>
      </x:c>
      <x:c r="Q21" s="79" t="n">
        <x:v>0.04624278680920339</x:v>
      </x:c>
      <x:c r="R21" s="79" t="n">
        <x:v>-0.08901488533750748</x:v>
      </x:c>
      <x:c r="S21" s="79" t="n">
        <x:v>0.04990702773541678</x:v>
      </x:c>
      <x:c r="T21" s="79" t="n">
        <x:v>0.017410172995361694</x:v>
      </x:c>
      <x:c r="U21" s="79" t="n">
        <x:v>-0.0005230980501760192</x:v>
      </x:c>
      <x:c r="V21" s="79" t="n">
        <x:v>0.00009754489339938741</x:v>
      </x:c>
      <x:c r="W21" s="79" t="n">
        <x:v>-0.0005230980501760192</x:v>
      </x:c>
      <x:c r="X21" s="79" t="n">
        <x:v>0.008099032149995255</x:v>
      </x:c>
      <x:c r="Y21" s="79" t="n">
        <x:v>-0.003054925307613015</x:v>
      </x:c>
      <x:c r="Z21" s="79" t="n">
        <x:v>0.00009754489339938741</x:v>
      </x:c>
      <x:c r="AA21" s="79" t="n">
        <x:v>-0.003054925307613015</x:v>
      </x:c>
      <x:c r="AB21" s="79" t="n">
        <x:v>0.00993686835577374</x:v>
      </x:c>
      <x:c r="AC21" s="79" t="n">
        <x:v>0.034499174602490884</x:v>
      </x:c>
      <x:c r="AD21" s="79" t="n">
        <x:v>-0.007277558900783252</x:v>
      </x:c>
      <x:c r="AE21" s="79" t="n">
        <x:v>0.003884496522117635</x:v>
      </x:c>
      <x:c r="AF21" s="79" t="n">
        <x:v>-0.007277558900783252</x:v>
      </x:c>
      <x:c r="AG21" s="79" t="n">
        <x:v>0.015694967314720386</x:v>
      </x:c>
      <x:c r="AH21" s="79" t="n">
        <x:v>-0.010344604158498192</x:v>
      </x:c>
      <x:c r="AI21" s="79" t="n">
        <x:v>0.003884496522117635</x:v>
      </x:c>
      <x:c r="AJ21" s="79" t="n">
        <x:v>-0.010344604158498192</x:v>
      </x:c>
      <x:c r="AK21" s="79" t="n">
        <x:v>0.026447751918122583</x:v>
      </x:c>
      <x:c r="AL21" s="79" t="n">
        <x:v>0.00580810530157225</x:v>
      </x:c>
      <x:c r="AM21" s="79" t="n">
        <x:v>0.01219767126603278</x:v>
      </x:c>
      <x:c r="AN21" s="79" t="n">
        <x:v>0.017440296933525605</x:v>
      </x:c>
      <x:c r="AO21" s="79" t="n">
        <x:v>-0.04119409738621869</x:v>
      </x:c>
      <x:c r="AP21" s="79" t="n">
        <x:v>0.8027273998238915</x:v>
      </x:c>
      <x:c r="AQ21" s="79" t="n">
        <x:v>-0.5949216485492096</x:v>
      </x:c>
      <x:c r="AR21" s="79" t="n">
        <x:v>-0.04450629738595799</x:v>
      </x:c>
      <x:c r="AS21" s="79" t="n">
        <x:v>0.5933618398152761</x:v>
      </x:c>
      <x:c r="AT21" s="79" t="n">
        <x:v>0.8037044957843792</x:v>
      </x:c>
      <x:c r="AU21" s="79" t="n">
        <x:v>0.9981594240568625</x:v>
      </x:c>
      <x:c r="AV21" s="79" t="n">
        <x:v>0.059585641080759005</x:v>
      </x:c>
      <x:c r="AW21" s="79" t="n">
        <x:v>0.011283418961802537</x:v>
      </x:c>
    </x:row>
    <x:row r="22">
      <x:c r="A22" s="78" t="str">
        <x:v>lookup_30cm</x:v>
      </x:c>
      <x:c r="B22" s="79" t="n">
        <x:v>0.3</x:v>
      </x:c>
      <x:c r="C22" s="79" t="n">
        <x:v>79.12135133916097</x:v>
      </x:c>
      <x:c r="D22" s="79" t="n">
        <x:v>28.275434051813985</x:v>
      </x:c>
      <x:c r="E22" s="79" t="n">
        <x:v>1</x:v>
      </x:c>
      <x:c r="F22" s="79" t="n">
        <x:v>-1.3610884641579446e-10</x:v>
      </x:c>
      <x:c r="G22" s="79" t="n">
        <x:v>0.051499999999999976</x:v>
      </x:c>
      <x:c r="H22" s="79" t="n">
        <x:v>-0.28690230506020914</x:v>
      </x:c>
      <x:c r="I22" s="79" t="n">
        <x:v>-0.08767592183418413</x:v>
      </x:c>
      <x:c r="J22" s="79" t="n">
        <x:v>0.059499999999999956</x:v>
      </x:c>
      <x:c r="K22" s="79" t="n">
        <x:v>-8.569533971325427e-16</x:v>
      </x:c>
      <x:c r="L22" s="79" t="n">
        <x:v>-6.036837696399289e-16</x:v>
      </x:c>
      <x:c r="M22" s="79" t="n">
        <x:v>1.5474559905475697e-15</x:v>
      </x:c>
      <x:c r="N22" s="79" t="n">
        <x:v>1.6409073231960014</x:v>
      </x:c>
      <x:c r="O22" s="79" t="n">
        <x:v>0.0005470582945658511</x:v>
      </x:c>
      <x:c r="P22" s="79" t="n">
        <x:v>0.2638037286397194</x:v>
      </x:c>
      <x:c r="Q22" s="79" t="n">
        <x:v>0.04624278680920337</x:v>
      </x:c>
      <x:c r="R22" s="79" t="n">
        <x:v>-0.0927422615013075</x:v>
      </x:c>
      <x:c r="S22" s="79" t="n">
        <x:v>0.045374773788250944</x:v>
      </x:c>
      <x:c r="T22" s="79" t="n">
        <x:v>0.01762380973505946</x:v>
      </x:c>
      <x:c r="U22" s="79" t="n">
        <x:v>-0.0005442985988797641</x:v>
      </x:c>
      <x:c r="V22" s="79" t="n">
        <x:v>0.00007603287188562986</x:v>
      </x:c>
      <x:c r="W22" s="79" t="n">
        <x:v>-0.0005442985988797641</x:v>
      </x:c>
      <x:c r="X22" s="79" t="n">
        <x:v>0.007588833737241359</x:v>
      </x:c>
      <x:c r="Y22" s="79" t="n">
        <x:v>-0.002868526176841227</x:v>
      </x:c>
      <x:c r="Z22" s="79" t="n">
        <x:v>0.00007603287188562986</x:v>
      </x:c>
      <x:c r="AA22" s="79" t="n">
        <x:v>-0.002868526176841227</x:v>
      </x:c>
      <x:c r="AB22" s="79" t="n">
        <x:v>0.010660703508225408</x:v>
      </x:c>
      <x:c r="AC22" s="79" t="n">
        <x:v>0.03511587714788374</x:v>
      </x:c>
      <x:c r="AD22" s="79" t="n">
        <x:v>-0.007581593228111943</x:v>
      </x:c>
      <x:c r="AE22" s="79" t="n">
        <x:v>0.003519076493138942</x:v>
      </x:c>
      <x:c r="AF22" s="79" t="n">
        <x:v>-0.007581593228111943</x:v>
      </x:c>
      <x:c r="AG22" s="79" t="n">
        <x:v>0.014476157315799014</x:v>
      </x:c>
      <x:c r="AH22" s="79" t="n">
        <x:v>-0.009773725320659529</x:v>
      </x:c>
      <x:c r="AI22" s="79" t="n">
        <x:v>0.003519076493138942</x:v>
      </x:c>
      <x:c r="AJ22" s="79" t="n">
        <x:v>-0.009773725320659529</x:v>
      </x:c>
      <x:c r="AK22" s="79" t="n">
        <x:v>0.028283264462436813</x:v>
      </x:c>
      <x:c r="AL22" s="79" t="n">
        <x:v>0.005849158830843359</x:v>
      </x:c>
      <x:c r="AM22" s="79" t="n">
        <x:v>0.01236993216777613</x:v>
      </x:c>
      <x:c r="AN22" s="79" t="n">
        <x:v>0.017654255981906692</x:v>
      </x:c>
      <x:c r="AO22" s="79" t="n">
        <x:v>-0.04296193505762624</x:v>
      </x:c>
      <x:c r="AP22" s="79" t="n">
        <x:v>0.8578469028690618</x:v>
      </x:c>
      <x:c r="AQ22" s="79" t="n">
        <x:v>-0.5121063984896721</x:v>
      </x:c>
      <x:c r="AR22" s="79" t="n">
        <x:v>-0.04047578410428693</x:v>
      </x:c>
      <x:c r="AS22" s="79" t="n">
        <x:v>0.5106643484156052</x:v>
      </x:c>
      <x:c r="AT22" s="79" t="n">
        <x:v>0.8588268941750767</x:v>
      </x:c>
      <x:c r="AU22" s="79" t="n">
        <x:v>0.9982564715729358</x:v>
      </x:c>
      <x:c r="AV22" s="79" t="n">
        <x:v>0.05762477327698439</x:v>
      </x:c>
      <x:c r="AW22" s="79" t="n">
        <x:v>0.012782897462183092</x:v>
      </x:c>
    </x:row>
    <x:row r="23">
      <x:c r="A23" s="78" t="str">
        <x:v>lookup_31cm</x:v>
      </x:c>
      <x:c r="B23" s="79" t="n">
        <x:v>0.31</x:v>
      </x:c>
      <x:c r="C23" s="79" t="n">
        <x:v>82.36783158969689</x:v>
      </x:c>
      <x:c r="D23" s="79" t="n">
        <x:v>28.275434051813985</x:v>
      </x:c>
      <x:c r="E23" s="79" t="n">
        <x:v>1</x:v>
      </x:c>
      <x:c r="F23" s="79" t="n">
        <x:v>-1.9011076046737685e-10</x:v>
      </x:c>
      <x:c r="G23" s="79" t="n">
        <x:v>0.051499999999999976</x:v>
      </x:c>
      <x:c r="H23" s="79" t="n">
        <x:v>-0.2943226163368644</x:v>
      </x:c>
      <x:c r="I23" s="79" t="n">
        <x:v>-0.09733548887612806</x:v>
      </x:c>
      <x:c r="J23" s="79" t="n">
        <x:v>0.059499999999999956</x:v>
      </x:c>
      <x:c r="K23" s="79" t="n">
        <x:v>-8.213915658750182e-16</x:v>
      </x:c>
      <x:c r="L23" s="79" t="n">
        <x:v>-6.522560269672795e-16</x:v>
      </x:c>
      <x:c r="M23" s="79" t="n">
        <x:v>1.5242793677333087e-15</x:v>
      </x:c>
      <x:c r="N23" s="79" t="n">
        <x:v>1.6409073231960016</x:v>
      </x:c>
      <x:c r="O23" s="79" t="n">
        <x:v>0.0005470582945658511</x:v>
      </x:c>
      <x:c r="P23" s="79" t="n">
        <x:v>0.2638037286397194</x:v>
      </x:c>
      <x:c r="Q23" s="79" t="n">
        <x:v>0.04624278680920337</x:v>
      </x:c>
      <x:c r="R23" s="79" t="n">
        <x:v>-0.09628472846517917</x:v>
      </x:c>
      <x:c r="S23" s="79" t="n">
        <x:v>0.0405373981351096</x:v>
      </x:c>
      <x:c r="T23" s="79" t="n">
        <x:v>0.017845089110902733</x:v>
      </x:c>
      <x:c r="U23" s="79" t="n">
        <x:v>-0.0005647157531763552</x:v>
      </x:c>
      <x:c r="V23" s="79" t="n">
        <x:v>0.00005283065754967331</x:v>
      </x:c>
      <x:c r="W23" s="79" t="n">
        <x:v>-0.0005647157531763552</x:v>
      </x:c>
      <x:c r="X23" s="79" t="n">
        <x:v>0.00708662667802286</x:v>
      </x:c>
      <x:c r="Y23" s="79" t="n">
        <x:v>-0.0026068711008144507</x:v>
      </x:c>
      <x:c r="Z23" s="79" t="n">
        <x:v>0.00005283065754967331</x:v>
      </x:c>
      <x:c r="AA23" s="79" t="n">
        <x:v>-0.0026068711008144507</x:v>
      </x:c>
      <x:c r="AB23" s="79" t="n">
        <x:v>0.011384189943287184</x:v>
      </x:c>
      <x:c r="AC23" s="79" t="n">
        <x:v>0.035754000179516784</x:v>
      </x:c>
      <x:c r="AD23" s="79" t="n">
        <x:v>-0.007870813227363261</x:v>
      </x:c>
      <x:c r="AE23" s="79" t="n">
        <x:v>0.0031288135973794456</x:v>
      </x:c>
      <x:c r="AF23" s="79" t="n">
        <x:v>-0.007870813227363261</x:v>
      </x:c>
      <x:c r="AG23" s="79" t="n">
        <x:v>0.013292006486649919</x:v>
      </x:c>
      <x:c r="AH23" s="79" t="n">
        <x:v>-0.00901154959363592</x:v>
      </x:c>
      <x:c r="AI23" s="79" t="n">
        <x:v>0.0031288135973794456</x:v>
      </x:c>
      <x:c r="AJ23" s="79" t="n">
        <x:v>-0.00901154959363592</x:v>
      </x:c>
      <x:c r="AK23" s="79" t="n">
        <x:v>0.03010553832321895</x:v>
      </x:c>
      <x:c r="AL23" s="79" t="n">
        <x:v>0.005833401423228971</x:v>
      </x:c>
      <x:c r="AM23" s="79" t="n">
        <x:v>0.012606664817784632</x:v>
      </x:c>
      <x:c r="AN23" s="79" t="n">
        <x:v>0.01787583949119912</x:v>
      </x:c>
      <x:c r="AO23" s="79" t="n">
        <x:v>-0.04437435151816789</x:v>
      </x:c>
      <x:c r="AP23" s="79" t="n">
        <x:v>0.9040950122066032</x:v>
      </x:c>
      <x:c r="AQ23" s="79" t="n">
        <x:v>-0.4250213239714968</x:v>
      </x:c>
      <x:c r="AR23" s="79" t="n">
        <x:v>-0.03654666559635611</x:v>
      </x:c>
      <x:c r="AS23" s="79" t="n">
        <x:v>0.4236865217184467</x:v>
      </x:c>
      <x:c r="AT23" s="79" t="n">
        <x:v>0.9050713079906536</x:v>
      </x:c>
      <x:c r="AU23" s="79" t="n">
        <x:v>0.9983462616553089</x:v>
      </x:c>
      <x:c r="AV23" s="79" t="n">
        <x:v>0.055695064568292096</x:v>
      </x:c>
      <x:c r="AW23" s="79" t="n">
        <x:v>0.01424084343020399</x:v>
      </x:c>
    </x:row>
    <x:row r="24">
      <x:c r="A24" s="78" t="str">
        <x:v>lookup_32cm</x:v>
      </x:c>
      <x:c r="B24" s="79" t="n">
        <x:v>0.32</x:v>
      </x:c>
      <x:c r="C24" s="79" t="n">
        <x:v>85.69516184019987</x:v>
      </x:c>
      <x:c r="D24" s="79" t="n">
        <x:v>28.275434051813985</x:v>
      </x:c>
      <x:c r="E24" s="79" t="n">
        <x:v>1</x:v>
      </x:c>
      <x:c r="F24" s="79" t="n">
        <x:v>-2.676990296102133e-10</x:v>
      </x:c>
      <x:c r="G24" s="79" t="n">
        <x:v>0.051499999999999976</x:v>
      </x:c>
      <x:c r="H24" s="79" t="n">
        <x:v>-0.301347531735825</x:v>
      </x:c>
      <x:c r="I24" s="79" t="n">
        <x:v>-0.1076553061646252</x:v>
      </x:c>
      <x:c r="J24" s="79" t="n">
        <x:v>0.059499999999999956</x:v>
      </x:c>
      <x:c r="K24" s="79" t="n">
        <x:v>-7.86697096355482e-16</x:v>
      </x:c>
      <x:c r="L24" s="79" t="n">
        <x:v>-7.008282842946301e-16</x:v>
      </x:c>
      <x:c r="M24" s="79" t="n">
        <x:v>1.503987496161238e-15</x:v>
      </x:c>
      <x:c r="N24" s="79" t="n">
        <x:v>1.6409073231960016</x:v>
      </x:c>
      <x:c r="O24" s="79" t="n">
        <x:v>0.0005470582945658511</x:v>
      </x:c>
      <x:c r="P24" s="79" t="n">
        <x:v>0.2638037286397194</x:v>
      </x:c>
      <x:c r="Q24" s="79" t="n">
        <x:v>0.04624278680920337</x:v>
      </x:c>
      <x:c r="R24" s="79" t="n">
        <x:v>-0.09962120875737185</x:v>
      </x:c>
      <x:c r="S24" s="79" t="n">
        <x:v>0.03538431936055645</x:v>
      </x:c>
      <x:c r="T24" s="79" t="n">
        <x:v>0.01807409285243341</x:v>
      </x:c>
      <x:c r="U24" s="79" t="n">
        <x:v>-0.0005842396979758269</x:v>
      </x:c>
      <x:c r="V24" s="79" t="n">
        <x:v>0.00002786931773356005</x:v>
      </x:c>
      <x:c r="W24" s="79" t="n">
        <x:v>-0.0005842396979758269</x:v>
      </x:c>
      <x:c r="X24" s="79" t="n">
        <x:v>0.006600703067775819</x:v>
      </x:c>
      <x:c r="Y24" s="79" t="n">
        <x:v>-0.0022663192629231274</x:v>
      </x:c>
      <x:c r="Z24" s="79" t="n">
        <x:v>0.00002786931773356005</x:v>
      </x:c>
      <x:c r="AA24" s="79" t="n">
        <x:v>-0.0022663192629231274</x:v>
      </x:c>
      <x:c r="AB24" s="79" t="n">
        <x:v>0.012099117295064897</x:v>
      </x:c>
      <x:c r="AC24" s="79" t="n">
        <x:v>0.03641358736848057</x:v>
      </x:c>
      <x:c r="AD24" s="79" t="n">
        <x:v>-0.00814350972220299</x:v>
      </x:c>
      <x:c r="AE24" s="79" t="n">
        <x:v>0.002712835983028535</x:v>
      </x:c>
      <x:c r="AF24" s="79" t="n">
        <x:v>-0.00814350972220299</x:v>
      </x:c>
      <x:c r="AG24" s="79" t="n">
        <x:v>0.012164109734647278</x:v>
      </x:c>
      <x:c r="AH24" s="79" t="n">
        <x:v>-0.008050564615037172</x:v>
      </x:c>
      <x:c r="AI24" s="79" t="n">
        <x:v>0.002712835983028535</x:v>
      </x:c>
      <x:c r="AJ24" s="79" t="n">
        <x:v>-0.008050564615037172</x:v>
      </x:c>
      <x:c r="AK24" s="79" t="n">
        <x:v>0.031893022264185375</x:v>
      </x:c>
      <x:c r="AL24" s="79" t="n">
        <x:v>0.005761584205405559</x:v>
      </x:c>
      <x:c r="AM24" s="79" t="n">
        <x:v>0.012907197755143261</x:v>
      </x:c>
      <x:c r="AN24" s="79" t="n">
        <x:v>0.01810513125472525</x:v>
      </x:c>
      <x:c r="AO24" s="79" t="n">
        <x:v>-0.04539271654704227</x:v>
      </x:c>
      <x:c r="AP24" s="79" t="n">
        <x:v>0.9405707782784611</x:v>
      </x:c>
      <x:c r="AQ24" s="79" t="n">
        <x:v>-0.33655031174124617</x:v>
      </x:c>
      <x:c r="AR24" s="79" t="n">
        <x:v>-0.03283632956168908</x:v>
      </x:c>
      <x:c r="AS24" s="79" t="n">
        <x:v>0.3353106855869227</x:v>
      </x:c>
      <x:c r="AT24" s="79" t="n">
        <x:v>0.9415351929652678</x:v>
      </x:c>
      <x:c r="AU24" s="79" t="n">
        <x:v>0.9984294049883528</x:v>
      </x:c>
      <x:c r="AV24" s="79" t="n">
        <x:v>0.053789917083761914</x:v>
      </x:c>
      <x:c r="AW24" s="79" t="n">
        <x:v>0.015664229145604343</x:v>
      </x:c>
    </x:row>
    <x:row r="25">
      <x:c r="A25" s="78" t="str">
        <x:v>lookup_33cm</x:v>
      </x:c>
      <x:c r="B25" s="79" t="n">
        <x:v>0.33</x:v>
      </x:c>
      <x:c r="C25" s="79" t="n">
        <x:v>89.11304609188207</x:v>
      </x:c>
      <x:c r="D25" s="79" t="n">
        <x:v>28.275434051813985</x:v>
      </x:c>
      <x:c r="E25" s="79" t="n">
        <x:v>1</x:v>
      </x:c>
      <x:c r="F25" s="79" t="n">
        <x:v>-3.8108627364863423e-10</x:v>
      </x:c>
      <x:c r="G25" s="79" t="n">
        <x:v>0.05149999999999997</x:v>
      </x:c>
      <x:c r="H25" s="79" t="n">
        <x:v>-0.3079274546667423</x:v>
      </x:c>
      <x:c r="I25" s="79" t="n">
        <x:v>-0.11866205126722308</x:v>
      </x:c>
      <x:c r="J25" s="79" t="n">
        <x:v>0.059499999999999956</x:v>
      </x:c>
      <x:c r="K25" s="79" t="n">
        <x:v>-7.541710311809169e-16</x:v>
      </x:c>
      <x:c r="L25" s="79" t="n">
        <x:v>-7.424616477180734e-16</x:v>
      </x:c>
      <x:c r="M25" s="79" t="n">
        <x:v>1.4856410892412036e-15</x:v>
      </x:c>
      <x:c r="N25" s="79" t="n">
        <x:v>1.6409073231960014</x:v>
      </x:c>
      <x:c r="O25" s="79" t="n">
        <x:v>0.0005470582945658511</x:v>
      </x:c>
      <x:c r="P25" s="79" t="n">
        <x:v>0.2638037286397194</x:v>
      </x:c>
      <x:c r="Q25" s="79" t="n">
        <x:v>0.04624278680920337</x:v>
      </x:c>
      <x:c r="R25" s="79" t="n">
        <x:v>-0.10272769069479748</x:v>
      </x:c>
      <x:c r="S25" s="79" t="n">
        <x:v>0.029903444076049043</x:v>
      </x:c>
      <x:c r="T25" s="79" t="n">
        <x:v>0.018310900490541043</x:v>
      </x:c>
      <x:c r="U25" s="79" t="n">
        <x:v>-0.0006027454143656519</x:v>
      </x:c>
      <x:c r="V25" s="79" t="n">
        <x:v>0.0000010710739685713242</x:v>
      </x:c>
      <x:c r="W25" s="79" t="n">
        <x:v>-0.0006027454143656519</x:v>
      </x:c>
      <x:c r="X25" s="79" t="n">
        <x:v>0.006140422875493007</x:v>
      </x:c>
      <x:c r="Y25" s="79" t="n">
        <x:v>-0.0018435680140028517</x:v>
      </x:c>
      <x:c r="Z25" s="79" t="n">
        <x:v>0.0000010710739685713242</x:v>
      </x:c>
      <x:c r="AA25" s="79" t="n">
        <x:v>-0.0018435680140028517</x:v>
      </x:c>
      <x:c r="AB25" s="79" t="n">
        <x:v>0.012796205125455332</x:v>
      </x:c>
      <x:c r="AC25" s="79" t="n">
        <x:v>0.037094685616628514</x:v>
      </x:c>
      <x:c r="AD25" s="79" t="n">
        <x:v>-0.00839773568414391</x:v>
      </x:c>
      <x:c r="AE25" s="79" t="n">
        <x:v>0.0022701482237527386</x:v>
      </x:c>
      <x:c r="AF25" s="79" t="n">
        <x:v>-0.00839773568414391</x:v>
      </x:c>
      <x:c r="AG25" s="79" t="n">
        <x:v>0.011116656965234445</x:v>
      </x:c>
      <x:c r="AH25" s="79" t="n">
        <x:v>-0.006884290506948908</x:v>
      </x:c>
      <x:c r="AI25" s="79" t="n">
        <x:v>0.0022701482237527386</x:v>
      </x:c>
      <x:c r="AJ25" s="79" t="n">
        <x:v>-0.006884290506948908</x:v>
      </x:c>
      <x:c r="AK25" s="79" t="n">
        <x:v>0.03362157328174614</x:v>
      </x:c>
      <x:c r="AL25" s="79" t="n">
        <x:v>0.0056369941818307625</x:v>
      </x:c>
      <x:c r="AM25" s="79" t="n">
        <x:v>0.013268321667826962</x:v>
      </x:c>
      <x:c r="AN25" s="79" t="n">
        <x:v>0.01834221264183161</x:v>
      </x:c>
      <x:c r="AO25" s="79" t="n">
        <x:v>-0.046027652101576</x:v>
      </x:c>
      <x:c r="AP25" s="79" t="n">
        <x:v>0.9673791191292593</x:v>
      </x:c>
      <x:c r="AQ25" s="79" t="n">
        <x:v>-0.24911662954269884</x:v>
      </x:c>
      <x:c r="AR25" s="79" t="n">
        <x:v>-0.029433194245232292</x:v>
      </x:c>
      <x:c r="AS25" s="79" t="n">
        <x:v>0.24795932779924945</x:v>
      </x:c>
      <x:c r="AT25" s="79" t="n">
        <x:v>0.9683232202285902</x:v>
      </x:c>
      <x:c r="AU25" s="79" t="n">
        <x:v>0.9985064558221639</x:v>
      </x:c>
      <x:c r="AV25" s="79" t="n">
        <x:v>0.05190194244960715</x:v>
      </x:c>
      <x:c r="AW25" s="79" t="n">
        <x:v>0.017060071846828707</x:v>
      </x:c>
    </x:row>
    <x:row r="26">
      <x:c r="A26" s="78" t="str">
        <x:v>kinematic_max</x:v>
      </x:c>
      <x:c r="B26" s="79" t="n">
        <x:v>0.3363372000058729</x:v>
      </x:c>
      <x:c r="C26" s="79" t="n">
        <x:v>91.33101568029608</x:v>
      </x:c>
      <x:c r="D26" s="79" t="n">
        <x:v>28.275434051813985</x:v>
      </x:c>
      <x:c r="E26" s="79" t="n">
        <x:v>1</x:v>
      </x:c>
      <x:c r="F26" s="79" t="n">
        <x:v>0</x:v>
      </x:c>
      <x:c r="G26" s="79" t="n">
        <x:v>0.05150000000000001</x:v>
      </x:c>
      <x:c r="H26" s="79" t="n">
        <x:v>-0.31184139346873296</x:v>
      </x:c>
      <x:c r="I26" s="79" t="n">
        <x:v>-0.12600657692069123</x:v>
      </x:c>
      <x:c r="J26" s="79" t="n">
        <x:v>0.05949999999999998</x:v>
      </x:c>
      <x:c r="K26" s="79" t="n">
        <x:v>-7.246807320893112e-16</x:v>
      </x:c>
      <x:c r="L26" s="79" t="n">
        <x:v>-7.7021722333370235e-16</x:v>
      </x:c>
      <x:c r="M26" s="79" t="n">
        <x:v>1.4659553343807198e-15</x:v>
      </x:c>
      <x:c r="N26" s="79" t="n">
        <x:v>1.6409073231960014</x:v>
      </x:c>
      <x:c r="O26" s="79" t="n">
        <x:v>0.000547058294565851</x:v>
      </x:c>
      <x:c r="P26" s="79" t="n">
        <x:v>0.2638037286397194</x:v>
      </x:c>
      <x:c r="Q26" s="79" t="n">
        <x:v>0.04624278680920337</x:v>
      </x:c>
      <x:c r="R26" s="79" t="n">
        <x:v>-0.10456488555308124</x:v>
      </x:c>
      <x:c r="S26" s="79" t="n">
        <x:v>0.026254161766723096</x:v>
      </x:c>
      <x:c r="T26" s="79" t="n">
        <x:v>0.018465045787374384</x:v>
      </x:c>
      <x:c r="U26" s="79" t="n">
        <x:v>-0.0006138813427997143</x:v>
      </x:c>
      <x:c r="V26" s="79" t="n">
        <x:v>-0.000016902202744508792</x:v>
      </x:c>
      <x:c r="W26" s="79" t="n">
        <x:v>-0.0006138813427997143</x:v>
      </x:c>
      <x:c r="X26" s="79" t="n">
        <x:v>0.005866765104005461</x:v>
      </x:c>
      <x:c r="Y26" s="79" t="n">
        <x:v>-0.001531785161160411</x:v>
      </x:c>
      <x:c r="Z26" s="79" t="n">
        <x:v>-0.000016902202744508792</x:v>
      </x:c>
      <x:c r="AA26" s="79" t="n">
        <x:v>-0.001531785161160411</x:v>
      </x:c>
      <x:c r="AB26" s="79" t="n">
        <x:v>0.013224008193776235</x:v>
      </x:c>
      <x:c r="AC26" s="79" t="n">
        <x:v>0.03753746962557314</x:v>
      </x:c>
      <x:c r="AD26" s="79" t="n">
        <x:v>-0.008548278192704024</x:v>
      </x:c>
      <x:c r="AE26" s="79" t="n">
        <x:v>0.0019752669400507476</x:v>
      </x:c>
      <x:c r="AF26" s="79" t="n">
        <x:v>-0.008548278192704024</x:v>
      </x:c>
      <x:c r="AG26" s="79" t="n">
        <x:v>0.010506719921147007</x:v>
      </x:c>
      <x:c r="AH26" s="79" t="n">
        <x:v>-0.006036508011845252</x:v>
      </x:c>
      <x:c r="AI26" s="79" t="n">
        <x:v>0.0019752669400507476</x:v>
      </x:c>
      <x:c r="AJ26" s="79" t="n">
        <x:v>-0.006036508011845252</x:v>
      </x:c>
      <x:c r="AK26" s="79" t="n">
        <x:v>0.03467429433477822</x:v>
      </x:c>
      <x:c r="AL26" s="79" t="n">
        <x:v>0.005532869312504331</x:v>
      </x:c>
      <x:c r="AM26" s="79" t="n">
        <x:v>0.013526424981472582</x:v>
      </x:c>
      <x:c r="AN26" s="79" t="n">
        <x:v>0.018496524791179116</x:v>
      </x:c>
      <x:c r="AO26" s="79" t="n">
        <x:v>-0.04625117591405637</x:v>
      </x:c>
      <x:c r="AP26" s="79" t="n">
        <x:v>0.9797082654268979</x:v>
      </x:c>
      <x:c r="AQ26" s="79" t="n">
        <x:v>-0.19501934104284568</x:v>
      </x:c>
      <x:c r="AR26" s="79" t="n">
        <x:v>-0.027459313777148955</x:v>
      </x:c>
      <x:c r="AS26" s="79" t="n">
        <x:v>0.19390757013430748</x:v>
      </x:c>
      <x:c r="AT26" s="79" t="n">
        <x:v>0.9806354268184976</x:v>
      </x:c>
      <x:c r="AU26" s="79" t="n">
        <x:v>0.998552359575328</x:v>
      </x:c>
      <x:c r="AV26" s="79" t="n">
        <x:v>0.050710638911646407</x:v>
      </x:c>
      <x:c r="AW26" s="79" t="n">
        <x:v>0.01793366353307444</x:v>
      </x:c>
    </x:row>
  </x:sheetData>
  <x:pageMargins left="0.7" right="0.7" top="0.75" bottom="0.75" header="0.3" footer="0.3"/>
  <x:tableParts count="1">
    <x:tablePart xmlns:r="http://schemas.openxmlformats.org/officeDocument/2006/relationships" r:id="Rf8a5588245074c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>
      <x:c r="A1" s="12" t="str">
        <x:v>sample_id</x:v>
      </x:c>
      <x:c r="B1" s="12" t="str">
        <x:v>requested_l0_m</x:v>
      </x:c>
      <x:c r="C1" s="12" t="str">
        <x:v>actual_l0_m</x:v>
      </x:c>
      <x:c r="D1" s="12" t="str">
        <x:v>virtual_leg_angle_deg</x:v>
      </x:c>
      <x:c r="E1" s="12" t="str">
        <x:v>e_parallel_y</x:v>
      </x:c>
      <x:c r="F1" s="12" t="str">
        <x:v>e_parallel_z</x:v>
      </x:c>
      <x:c r="G1" s="12" t="str">
        <x:v>e_normal_y</x:v>
      </x:c>
      <x:c r="H1" s="12" t="str">
        <x:v>e_normal_z</x:v>
      </x:c>
      <x:c r="I1" s="12" t="str">
        <x:v>com_x_offset_m</x:v>
      </x:c>
      <x:c r="J1" s="12" t="str">
        <x:v>com_y_from_upper_m</x:v>
      </x:c>
      <x:c r="K1" s="12" t="str">
        <x:v>com_z_from_upper_m</x:v>
      </x:c>
      <x:c r="L1" s="12" t="str">
        <x:v>com_parallel_from_upper_m</x:v>
      </x:c>
      <x:c r="M1" s="12" t="str">
        <x:v>com_normal_from_leg_m</x:v>
      </x:c>
      <x:c r="N1" s="12" t="str">
        <x:v>com_radius_upper_yz_m</x:v>
      </x:c>
      <x:c r="O1" s="12" t="str">
        <x:v>com_radius_upper_3d_m</x:v>
      </x:c>
      <x:c r="P1" s="12" t="str">
        <x:v>com_parallel_from_wheel_m</x:v>
      </x:c>
      <x:c r="Q1" s="12" t="str">
        <x:v>com_radius_wheel_yz_m</x:v>
      </x:c>
      <x:c r="R1" s="12" t="str">
        <x:v>com_radius_wheel_3d_m</x:v>
      </x:c>
      <x:c r="S1" s="12" t="str">
        <x:v>eta_axial_lw_over_l0</x:v>
      </x:c>
      <x:c r="T1" s="12" t="str">
        <x:v>eta_radial_rho_w_over_l0</x:v>
      </x:c>
      <x:c r="U1" s="12" t="str">
        <x:v>eccentric_angle_deg</x:v>
      </x:c>
      <x:c r="V1" s="12" t="str">
        <x:v>I_pitch_com_kg_m2</x:v>
      </x:c>
      <x:c r="W1" s="12" t="str">
        <x:v>I_pitch_upper_kg_m2</x:v>
      </x:c>
      <x:c r="X1" s="12" t="str">
        <x:v>I_pitch_wheel_kg_m2</x:v>
      </x:c>
      <x:c r="Y1" s="12" t="str">
        <x:v>I_pitch_origin_raw_kg_m2</x:v>
      </x:c>
      <x:c r="Z1" s="12" t="str">
        <x:v>parallel_axis_QA_error_kg_m2</x:v>
      </x:c>
      <x:c r="AA1" s="12" t="str">
        <x:v>first_moment_parallel_kg_m</x:v>
      </x:c>
      <x:c r="AB1" s="12" t="str">
        <x:v>first_moment_normal_kg_m</x:v>
      </x:c>
      <x:c r="AC1" s="12" t="str">
        <x:v>mass_kg</x:v>
      </x:c>
      <x:c r="AD1" s="12" t="str">
        <x:v>point2_drift_m</x:v>
      </x:c>
      <x:c r="AE1" s="12" t="str">
        <x:v>length_residual_m</x:v>
      </x:c>
      <x:c r="AF1" s="12" t="str">
        <x:v>valid</x:v>
      </x:c>
    </x:row>
    <x:row r="2">
      <x:c r="A2" s="82" t="str">
        <x:f>'Raw_CAD'!A2</x:f>
        <x:v>kinematic_min</x:v>
      </x:c>
      <x:c r="B2" s="83" t="n">
        <x:f>'Raw_CAD'!B2</x:f>
        <x:v>0.10576914099936059</x:v>
      </x:c>
      <x:c r="C2" s="83" t="n">
        <x:f>SQRT(('Raw_CAD'!H2-'Raw_CAD'!K2)^2+('Raw_CAD'!I2-'Raw_CAD'!L2)^2)</x:f>
        <x:v>0.10576914099936059</x:v>
      </x:c>
      <x:c r="D2" s="84" t="n">
        <x:f>IF(ABS('Raw_CAD'!I2-'Raw_CAD'!L2)&lt;0.000000000001,IF('Raw_CAD'!H2-'Raw_CAD'!K2&gt;=0,90,-90),DEGREES(ATAN(('Raw_CAD'!H2-'Raw_CAD'!K2)/('Raw_CAD'!I2-'Raw_CAD'!L2)))+IF('Raw_CAD'!I2-'Raw_CAD'!L2&lt;0,IF('Raw_CAD'!H2-'Raw_CAD'!K2&gt;=0,180,-180),0))</x:f>
        <x:v>-94.84751384238463</x:v>
      </x:c>
      <x:c r="E2" s="83" t="n">
        <x:f>('Raw_CAD'!H2-'Raw_CAD'!K2)/C2</x:f>
        <x:v>-0.9964231248412234</x:v>
      </x:c>
      <x:c r="F2" s="83" t="n">
        <x:f>('Raw_CAD'!I2-'Raw_CAD'!L2)/C2</x:f>
        <x:v>-0.08450417907802965</x:v>
      </x:c>
      <x:c r="G2" s="83" t="n">
        <x:f>-F2</x:f>
        <x:v>0.08450417907802965</x:v>
      </x:c>
      <x:c r="H2" s="83" t="n">
        <x:f>E2</x:f>
        <x:v>-0.9964231248412234</x:v>
      </x:c>
      <x:c r="I2" s="83" t="n">
        <x:f>'Raw_CAD'!Q2-'Raw_CAD'!J2</x:f>
        <x:v>-0.013257213190796632</x:v>
      </x:c>
      <x:c r="J2" s="83" t="n">
        <x:f>'Raw_CAD'!R2-'Raw_CAD'!K2</x:f>
        <x:v>-0.0024062094807654685</x:v>
      </x:c>
      <x:c r="K2" s="83" t="n">
        <x:f>'Raw_CAD'!S2-'Raw_CAD'!L2</x:f>
        <x:v>0.08656899977617435</x:v>
      </x:c>
      <x:c r="L2" s="83" t="n">
        <x:f>J2*E2+K2*F2</x:f>
        <x:v>-0.00491783948984484</x:v>
      </x:c>
      <x:c r="M2" s="83" t="n">
        <x:f>J2*G2+K2*H2</x:f>
        <x:v>-0.08646268802821669</x:v>
      </x:c>
      <x:c r="N2" s="83" t="n">
        <x:f>SQRT(L2^2+M2^2)</x:f>
        <x:v>0.08660243395143466</x:v>
      </x:c>
      <x:c r="O2" s="83" t="n">
        <x:f>SQRT(I2^2+N2^2)</x:f>
        <x:v>0.087611273634726</x:v>
      </x:c>
      <x:c r="P2" s="83" t="n">
        <x:f>C2-L2</x:f>
        <x:v>0.11068698048920543</x:v>
      </x:c>
      <x:c r="Q2" s="83" t="n">
        <x:f>SQRT(P2^2+M2^2)</x:f>
        <x:v>0.1404542775100939</x:v>
      </x:c>
      <x:c r="R2" s="83" t="n">
        <x:f>SQRT(I2^2+Q2^2)</x:f>
        <x:v>0.14107855178044854</x:v>
      </x:c>
      <x:c r="S2" s="83" t="n">
        <x:f>P2/C2</x:f>
        <x:v>1.046495976457581</x:v>
      </x:c>
      <x:c r="T2" s="83" t="n">
        <x:f>Q2/C2</x:f>
        <x:v>1.3279324780650623</x:v>
      </x:c>
      <x:c r="U2" s="85" t="n">
        <x:f>IF(ABS(L2)&lt;0.000000000001,IF(M2&gt;=0,90,-90),DEGREES(ATAN(M2/L2))+IF(L2&lt;0,IF(M2&gt;=0,180,-180),0))</x:f>
        <x:v>-93.25537161236677</x:v>
      </x:c>
      <x:c r="V2" s="83" t="n">
        <x:f>'Raw_CAD'!T2</x:f>
        <x:v>0.014620930083686662</x:v>
      </x:c>
      <x:c r="W2" s="83" t="n">
        <x:f>V2+AC2*(J2^2+K2^2)</x:f>
        <x:v>0.026927704759684028</x:v>
      </x:c>
      <x:c r="X2" s="83" t="n">
        <x:f>V2+AC2*(('Raw_CAD'!R2-'Raw_CAD'!H2)^2+('Raw_CAD'!S2-'Raw_CAD'!I2)^2)</x:f>
        <x:v>0.046991771891244316</x:v>
      </x:c>
      <x:c r="Y2" s="83" t="n">
        <x:f>'Raw_CAD'!AC2</x:f>
        <x:v>0.026927704759683948</x:v>
      </x:c>
      <x:c r="Z2" s="83" t="n">
        <x:f>W2-Y2</x:f>
        <x:v>7.979727989493313e-17</x:v>
      </x:c>
      <x:c r="AA2" s="83" t="n">
        <x:f>AC2*L2</x:f>
        <x:v>-0.008069718833188886</x:v>
      </x:c>
      <x:c r="AB2" s="83" t="n">
        <x:f>AC2*M2</x:f>
        <x:v>-0.141877257968712</x:v>
      </x:c>
      <x:c r="AC2" s="83" t="n">
        <x:f>'Raw_CAD'!N2</x:f>
        <x:v>1.6409073231960014</x:v>
      </x:c>
      <x:c r="AD2" s="83" t="n">
        <x:f>'Raw_CAD'!M2</x:f>
        <x:v>0</x:v>
      </x:c>
      <x:c r="AE2" s="83" t="n">
        <x:f>'Raw_CAD'!F2</x:f>
        <x:v>0</x:v>
      </x:c>
      <x:c r="AF2" s="86" t="b">
        <x:f>AND('Raw_CAD'!E2=1,ABS(AE2)&lt;0.000002)</x:f>
        <x:v>1</x:v>
      </x:c>
    </x:row>
    <x:row r="3">
      <x:c r="A3" s="82" t="str">
        <x:f>'Raw_CAD'!A3</x:f>
        <x:v>lookup_11cm</x:v>
      </x:c>
      <x:c r="B3" s="83" t="n">
        <x:f>'Raw_CAD'!B3</x:f>
        <x:v>0.11</x:v>
      </x:c>
      <x:c r="C3" s="83" t="n">
        <x:f>SQRT(('Raw_CAD'!H3-'Raw_CAD'!K3)^2+('Raw_CAD'!I3-'Raw_CAD'!L3)^2)</x:f>
        <x:v>0.1099999984331883</x:v>
      </x:c>
      <x:c r="D3" s="84" t="n">
        <x:f>IF(ABS('Raw_CAD'!I3-'Raw_CAD'!L3)&lt;0.000000000001,IF('Raw_CAD'!H3-'Raw_CAD'!K3&gt;=0,90,-90),DEGREES(ATAN(('Raw_CAD'!H3-'Raw_CAD'!K3)/('Raw_CAD'!I3-'Raw_CAD'!L3)))+IF('Raw_CAD'!I3-'Raw_CAD'!L3&lt;0,IF('Raw_CAD'!H3-'Raw_CAD'!K3&gt;=0,180,-180),0))</x:f>
        <x:v>-94.5291922386778</x:v>
      </x:c>
      <x:c r="E3" s="83" t="n">
        <x:f>('Raw_CAD'!H3-'Raw_CAD'!K3)/C3</x:f>
        <x:v>-0.996877229376804</x:v>
      </x:c>
      <x:c r="F3" s="83" t="n">
        <x:f>('Raw_CAD'!I3-'Raw_CAD'!L3)/C3</x:f>
        <x:v>-0.07896701558262774</x:v>
      </x:c>
      <x:c r="G3" s="83" t="n">
        <x:f>-F3</x:f>
        <x:v>0.07896701558262774</x:v>
      </x:c>
      <x:c r="H3" s="83" t="n">
        <x:f>E3</x:f>
        <x:v>-0.996877229376804</x:v>
      </x:c>
      <x:c r="I3" s="83" t="n">
        <x:f>'Raw_CAD'!Q3-'Raw_CAD'!J3</x:f>
        <x:v>-0.013257213190796625</x:v>
      </x:c>
      <x:c r="J3" s="83" t="n">
        <x:f>'Raw_CAD'!R3-'Raw_CAD'!K3</x:f>
        <x:v>-0.0046313337973262715</x:v>
      </x:c>
      <x:c r="K3" s="83" t="n">
        <x:f>'Raw_CAD'!S3-'Raw_CAD'!L3</x:f>
        <x:v>0.08662287128213682</x:v>
      </x:c>
      <x:c r="L3" s="83" t="n">
        <x:f>J3*E3+K3*F3</x:f>
        <x:v>-0.0022234784221506886</x:v>
      </x:c>
      <x:c r="M3" s="83" t="n">
        <x:f>J3*G3+K3*H3</x:f>
        <x:v>-0.08671809053254188</x:v>
      </x:c>
      <x:c r="N3" s="83" t="n">
        <x:f>SQRT(L3^2+M3^2)</x:f>
        <x:v>0.08674659118319232</x:v>
      </x:c>
      <x:c r="O3" s="83" t="n">
        <x:f>SQRT(I3^2+N3^2)</x:f>
        <x:v>0.08775377361395993</x:v>
      </x:c>
      <x:c r="P3" s="83" t="n">
        <x:f>C3-L3</x:f>
        <x:v>0.112223476855339</x:v>
      </x:c>
      <x:c r="Q3" s="83" t="n">
        <x:f>SQRT(P3^2+M3^2)</x:f>
        <x:v>0.14182431379390115</x:v>
      </x:c>
      <x:c r="R3" s="83" t="n">
        <x:f>SQRT(I3^2+Q3^2)</x:f>
        <x:v>0.14244258381782174</x:v>
      </x:c>
      <x:c r="S3" s="83" t="n">
        <x:f>P3/C3</x:f>
        <x:v>1.0202134404892849</x:v>
      </x:c>
      <x:c r="T3" s="83" t="n">
        <x:f>Q3/C3</x:f>
        <x:v>1.2893119619455473</x:v>
      </x:c>
      <x:c r="U3" s="85" t="n">
        <x:f>IF(ABS(L3)&lt;0.000000000001,IF(M3&gt;=0,90,-90),DEGREES(ATAN(M3/L3))+IF(L3&lt;0,IF(M3&gt;=0,180,-180),0))</x:f>
        <x:v>-91.46875953890107</x:v>
      </x:c>
      <x:c r="V3" s="83" t="n">
        <x:f>'Raw_CAD'!T3</x:f>
        <x:v>0.014673833551578483</x:v>
      </x:c>
      <x:c r="W3" s="83" t="n">
        <x:f>V3+AC3*(J3^2+K3^2)</x:f>
        <x:v>0.02702161370671273</x:v>
      </x:c>
      <x:c r="X3" s="83" t="n">
        <x:f>V3+AC3*(('Raw_CAD'!R3-'Raw_CAD'!H3)^2+('Raw_CAD'!S3-'Raw_CAD'!I3)^2)</x:f>
        <x:v>0.04767926658602542</x:v>
      </x:c>
      <x:c r="Y3" s="83" t="n">
        <x:f>'Raw_CAD'!AC3</x:f>
        <x:v>0.027021613706712834</x:v>
      </x:c>
      <x:c r="Z3" s="83" t="n">
        <x:f>W3-Y3</x:f>
        <x:v>-1.0408340855860843e-16</x:v>
      </x:c>
      <x:c r="AA3" s="83" t="n">
        <x:f>AC3*L3</x:f>
        <x:v>-0.003648522025875355</x:v>
      </x:c>
      <x:c r="AB3" s="83" t="n">
        <x:f>AC3*M3</x:f>
        <x:v>-0.14229634980842182</x:v>
      </x:c>
      <x:c r="AC3" s="83" t="n">
        <x:f>'Raw_CAD'!N3</x:f>
        <x:v>1.6409073231960014</x:v>
      </x:c>
      <x:c r="AD3" s="83" t="n">
        <x:f>'Raw_CAD'!M3</x:f>
        <x:v>1.7544230311589373e-15</x:v>
      </x:c>
      <x:c r="AE3" s="83" t="n">
        <x:f>'Raw_CAD'!F3</x:f>
        <x:v>-1.5668116942757493e-9</x:v>
      </x:c>
      <x:c r="AF3" s="86" t="b">
        <x:f>AND('Raw_CAD'!E3=1,ABS(AE3)&lt;0.000002)</x:f>
        <x:v>1</x:v>
      </x:c>
    </x:row>
    <x:row r="4">
      <x:c r="A4" s="82" t="str">
        <x:f>'Raw_CAD'!A4</x:f>
        <x:v>lookup_12cm</x:v>
      </x:c>
      <x:c r="B4" s="83" t="n">
        <x:f>'Raw_CAD'!B4</x:f>
        <x:v>0.12</x:v>
      </x:c>
      <x:c r="C4" s="83" t="n">
        <x:f>SQRT(('Raw_CAD'!H4-'Raw_CAD'!K4)^2+('Raw_CAD'!I4-'Raw_CAD'!L4)^2)</x:f>
        <x:v>0.11999992262371745</x:v>
      </x:c>
      <x:c r="D4" s="84" t="n">
        <x:f>IF(ABS('Raw_CAD'!I4-'Raw_CAD'!L4)&lt;0.000000000001,IF('Raw_CAD'!H4-'Raw_CAD'!K4&gt;=0,90,-90),DEGREES(ATAN(('Raw_CAD'!H4-'Raw_CAD'!K4)/('Raw_CAD'!I4-'Raw_CAD'!L4)))+IF('Raw_CAD'!I4-'Raw_CAD'!L4&lt;0,IF('Raw_CAD'!H4-'Raw_CAD'!K4&gt;=0,180,-180),0))</x:f>
        <x:v>-94.02795765012492</x:v>
      </x:c>
      <x:c r="E4" s="83" t="n">
        <x:f>('Raw_CAD'!H4-'Raw_CAD'!K4)/C4</x:f>
        <x:v>-0.9975298936182597</x:v>
      </x:c>
      <x:c r="F4" s="83" t="n">
        <x:f>('Raw_CAD'!I4-'Raw_CAD'!L4)/C4</x:f>
        <x:v>-0.07024322983707008</x:v>
      </x:c>
      <x:c r="G4" s="83" t="n">
        <x:f>-F4</x:f>
        <x:v>0.07024322983707008</x:v>
      </x:c>
      <x:c r="H4" s="83" t="n">
        <x:f>E4</x:f>
        <x:v>-0.9975298936182597</x:v>
      </x:c>
      <x:c r="I4" s="83" t="n">
        <x:f>'Raw_CAD'!Q4-'Raw_CAD'!J4</x:f>
        <x:v>-0.013257213190796611</x:v>
      </x:c>
      <x:c r="J4" s="83" t="n">
        <x:f>'Raw_CAD'!R4-'Raw_CAD'!K4</x:f>
        <x:v>-0.009838292291429284</x:v>
      </x:c>
      <x:c r="K4" s="83" t="n">
        <x:f>'Raw_CAD'!S4-'Raw_CAD'!L4</x:f>
        <x:v>0.08659644159720309</x:v>
      </x:c>
      <x:c r="L4" s="83" t="n">
        <x:f>J4*E4+K4*F4</x:f>
        <x:v>0.0037311769126700456</x:v>
      </x:c>
      <x:c r="M4" s="83" t="n">
        <x:f>J4*G4+K4*H4</x:f>
        <x:v>-0.08707361260080898</x:v>
      </x:c>
      <x:c r="N4" s="83" t="n">
        <x:f>SQRT(L4^2+M4^2)</x:f>
        <x:v>0.08715351795830965</x:v>
      </x:c>
      <x:c r="O4" s="83" t="n">
        <x:f>SQRT(I4^2+N4^2)</x:f>
        <x:v>0.08815605137536296</x:v>
      </x:c>
      <x:c r="P4" s="83" t="n">
        <x:f>C4-L4</x:f>
        <x:v>0.11626874571104741</x:v>
      </x:c>
      <x:c r="Q4" s="83" t="n">
        <x:f>SQRT(P4^2+M4^2)</x:f>
        <x:v>0.14525920019253846</x:v>
      </x:c>
      <x:c r="R4" s="83" t="n">
        <x:f>SQRT(I4^2+Q4^2)</x:f>
        <x:v>0.1458629114688247</x:v>
      </x:c>
      <x:c r="S4" s="83" t="n">
        <x:f>P4/C4</x:f>
        <x:v>0.9689068390121396</x:v>
      </x:c>
      <x:c r="T4" s="83" t="n">
        <x:f>Q4/C4</x:f>
        <x:v>1.2104941154672764</x:v>
      </x:c>
      <x:c r="U4" s="85" t="n">
        <x:f>IF(ABS(L4)&lt;0.000000000001,IF(M4&gt;=0,90,-90),DEGREES(ATAN(M4/L4))+IF(L4&lt;0,IF(M4&gt;=0,180,-180),0))</x:f>
        <x:v>-87.54632913812854</x:v>
      </x:c>
      <x:c r="V4" s="83" t="n">
        <x:f>'Raw_CAD'!T4</x:f>
        <x:v>0.014794529639208456</x:v>
      </x:c>
      <x:c r="W4" s="83" t="n">
        <x:f>V4+AC4*(J4^2+K4^2)</x:f>
        <x:v>0.027258427962108388</x:v>
      </x:c>
      <x:c r="X4" s="83" t="n">
        <x:f>V4+AC4*(('Raw_CAD'!R4-'Raw_CAD'!H4)^2+('Raw_CAD'!S4-'Raw_CAD'!I4)^2)</x:f>
        <x:v>0.049418060166627906</x:v>
      </x:c>
      <x:c r="Y4" s="83" t="n">
        <x:f>'Raw_CAD'!AC4</x:f>
        <x:v>0.027258427962108502</x:v>
      </x:c>
      <x:c r="Z4" s="83" t="n">
        <x:f>W4-Y4</x:f>
        <x:v>-1.1449174941446927e-16</x:v>
      </x:c>
      <x:c r="AA4" s="83" t="n">
        <x:f>AC4*L4</x:f>
        <x:v>0.006122515520140126</x:v>
      </x:c>
      <x:c r="AB4" s="83" t="n">
        <x:f>AC4*M4</x:f>
        <x:v>-0.1428797285737991</x:v>
      </x:c>
      <x:c r="AC4" s="83" t="n">
        <x:f>'Raw_CAD'!N4</x:f>
        <x:v>1.6409073231960016</x:v>
      </x:c>
      <x:c r="AD4" s="83" t="n">
        <x:f>'Raw_CAD'!M4</x:f>
        <x:v>1.7625482001382995e-15</x:v>
      </x:c>
      <x:c r="AE4" s="83" t="n">
        <x:f>'Raw_CAD'!F4</x:f>
        <x:v>-7.737628254789186e-8</x:v>
      </x:c>
      <x:c r="AF4" s="86" t="b">
        <x:f>AND('Raw_CAD'!E4=1,ABS(AE4)&lt;0.000002)</x:f>
        <x:v>1</x:v>
      </x:c>
    </x:row>
    <x:row r="5">
      <x:c r="A5" s="82" t="str">
        <x:f>'Raw_CAD'!A5</x:f>
        <x:v>lookup_13cm</x:v>
      </x:c>
      <x:c r="B5" s="83" t="n">
        <x:f>'Raw_CAD'!B5</x:f>
        <x:v>0.13</x:v>
      </x:c>
      <x:c r="C5" s="83" t="n">
        <x:f>SQRT(('Raw_CAD'!H5-'Raw_CAD'!K5)^2+('Raw_CAD'!I5-'Raw_CAD'!L5)^2)</x:f>
        <x:v>0.12999998632631357</x:v>
      </x:c>
      <x:c r="D5" s="84" t="n">
        <x:f>IF(ABS('Raw_CAD'!I5-'Raw_CAD'!L5)&lt;0.000000000001,IF('Raw_CAD'!H5-'Raw_CAD'!K5&gt;=0,90,-90),DEGREES(ATAN(('Raw_CAD'!H5-'Raw_CAD'!K5)/('Raw_CAD'!I5-'Raw_CAD'!L5)))+IF('Raw_CAD'!I5-'Raw_CAD'!L5&lt;0,IF('Raw_CAD'!H5-'Raw_CAD'!K5&gt;=0,180,-180),0))</x:f>
        <x:v>-93.81080339965627</x:v>
      </x:c>
      <x:c r="E5" s="83" t="n">
        <x:f>('Raw_CAD'!H5-'Raw_CAD'!K5)/C5</x:f>
        <x:v>-0.9977889542864401</x:v>
      </x:c>
      <x:c r="F5" s="83" t="n">
        <x:f>('Raw_CAD'!I5-'Raw_CAD'!L5)/C5</x:f>
        <x:v>-0.06646203957126556</x:v>
      </x:c>
      <x:c r="G5" s="83" t="n">
        <x:f>-F5</x:f>
        <x:v>0.06646203957126556</x:v>
      </x:c>
      <x:c r="H5" s="83" t="n">
        <x:f>E5</x:f>
        <x:v>-0.9977889542864401</x:v>
      </x:c>
      <x:c r="I5" s="83" t="n">
        <x:f>'Raw_CAD'!Q5-'Raw_CAD'!J5</x:f>
        <x:v>-0.013257213190796618</x:v>
      </x:c>
      <x:c r="J5" s="83" t="n">
        <x:f>'Raw_CAD'!R5-'Raw_CAD'!K5</x:f>
        <x:v>-0.014984728959838906</x:v>
      </x:c>
      <x:c r="K5" s="83" t="n">
        <x:f>'Raw_CAD'!S5-'Raw_CAD'!L5</x:f>
        <x:v>0.08635044985331844</x:v>
      </x:c>
      <x:c r="L5" s="83" t="n">
        <x:f>J5*E5+K5*F5</x:f>
        <x:v>0.009212570023955563</x:v>
      </x:c>
      <x:c r="M5" s="83" t="n">
        <x:f>J5*G5+K5*H5</x:f>
        <x:v>-0.0871554407103998</x:v>
      </x:c>
      <x:c r="N5" s="83" t="n">
        <x:f>SQRT(L5^2+M5^2)</x:f>
        <x:v>0.08764098522877466</x:v>
      </x:c>
      <x:c r="O5" s="83" t="n">
        <x:f>SQRT(I5^2+N5^2)</x:f>
        <x:v>0.08863800535580958</x:v>
      </x:c>
      <x:c r="P5" s="83" t="n">
        <x:f>C5-L5</x:f>
        <x:v>0.12078741630235801</x:v>
      </x:c>
      <x:c r="Q5" s="83" t="n">
        <x:f>SQRT(P5^2+M5^2)</x:f>
        <x:v>0.1489485507899394</x:v>
      </x:c>
      <x:c r="R5" s="83" t="n">
        <x:f>SQRT(I5^2+Q5^2)</x:f>
        <x:v>0.14953736818604701</x:v>
      </x:c>
      <x:c r="S5" s="83" t="n">
        <x:f>P5/C5</x:f>
        <x:v>0.9291340692849687</x:v>
      </x:c>
      <x:c r="T5" s="83" t="n">
        <x:f>Q5/C5</x:f>
        <x:v>1.1457582035129061</x:v>
      </x:c>
      <x:c r="U5" s="85" t="n">
        <x:f>IF(ABS(L5)&lt;0.000000000001,IF(M5&gt;=0,90,-90),DEGREES(ATAN(M5/L5))+IF(L5&lt;0,IF(M5&gt;=0,180,-180),0))</x:f>
        <x:v>-83.9660842599181</x:v>
      </x:c>
      <x:c r="V5" s="83" t="n">
        <x:f>'Raw_CAD'!T5</x:f>
        <x:v>0.01491241778378724</x:v>
      </x:c>
      <x:c r="W5" s="83" t="n">
        <x:f>V5+AC5*(J5^2+K5^2)</x:f>
        <x:v>0.02751613223956309</x:v>
      </x:c>
      <x:c r="X5" s="83" t="n">
        <x:f>V5+AC5*(('Raw_CAD'!R5-'Raw_CAD'!H5)^2+('Raw_CAD'!S5-'Raw_CAD'!I5)^2)</x:f>
        <x:v>0.05131704744068097</x:v>
      </x:c>
      <x:c r="Y5" s="83" t="n">
        <x:f>'Raw_CAD'!AC5</x:f>
        <x:v>0.027516132239563215</x:v>
      </x:c>
      <x:c r="Z5" s="83" t="n">
        <x:f>W5-Y5</x:f>
        <x:v>-1.249000902703301e-16</x:v>
      </x:c>
      <x:c r="AA5" s="83" t="n">
        <x:f>AC5*L5</x:f>
        <x:v>0.015116973617764647</x:v>
      </x:c>
      <x:c r="AB5" s="83" t="n">
        <x:f>AC5*M5</x:f>
        <x:v>-0.14301400091806996</x:v>
      </x:c>
      <x:c r="AC5" s="83" t="n">
        <x:f>'Raw_CAD'!N5</x:f>
        <x:v>1.6409073231960016</x:v>
      </x:c>
      <x:c r="AD5" s="83" t="n">
        <x:f>'Raw_CAD'!M5</x:f>
        <x:v>1.7556781416332264e-15</x:v>
      </x:c>
      <x:c r="AE5" s="83" t="n">
        <x:f>'Raw_CAD'!F5</x:f>
        <x:v>-1.3673686433124388e-8</x:v>
      </x:c>
      <x:c r="AF5" s="86" t="b">
        <x:f>AND('Raw_CAD'!E5=1,ABS(AE5)&lt;0.000002)</x:f>
        <x:v>1</x:v>
      </x:c>
    </x:row>
    <x:row r="6">
      <x:c r="A6" s="82" t="str">
        <x:f>'Raw_CAD'!A6</x:f>
        <x:v>lookup_14cm</x:v>
      </x:c>
      <x:c r="B6" s="83" t="n">
        <x:f>'Raw_CAD'!B6</x:f>
        <x:v>0.14</x:v>
      </x:c>
      <x:c r="C6" s="83" t="n">
        <x:f>SQRT(('Raw_CAD'!H6-'Raw_CAD'!K6)^2+('Raw_CAD'!I6-'Raw_CAD'!L6)^2)</x:f>
        <x:v>0.14000000031435708</x:v>
      </x:c>
      <x:c r="D6" s="84" t="n">
        <x:f>IF(ABS('Raw_CAD'!I6-'Raw_CAD'!L6)&lt;0.000000000001,IF('Raw_CAD'!H6-'Raw_CAD'!K6&gt;=0,90,-90),DEGREES(ATAN(('Raw_CAD'!H6-'Raw_CAD'!K6)/('Raw_CAD'!I6-'Raw_CAD'!L6)))+IF('Raw_CAD'!I6-'Raw_CAD'!L6&lt;0,IF('Raw_CAD'!H6-'Raw_CAD'!K6&gt;=0,180,-180),0))</x:f>
        <x:v>-93.81529311499288</x:v>
      </x:c>
      <x:c r="E6" s="83" t="n">
        <x:f>('Raw_CAD'!H6-'Raw_CAD'!K6)/C6</x:f>
        <x:v>-0.9977837432367012</x:v>
      </x:c>
      <x:c r="F6" s="83" t="n">
        <x:f>('Raw_CAD'!I6-'Raw_CAD'!L6)/C6</x:f>
        <x:v>-0.06654022642399869</x:v>
      </x:c>
      <x:c r="G6" s="83" t="n">
        <x:f>-F6</x:f>
        <x:v>0.06654022642399869</x:v>
      </x:c>
      <x:c r="H6" s="83" t="n">
        <x:f>E6</x:f>
        <x:v>-0.9977837432367012</x:v>
      </x:c>
      <x:c r="I6" s="83" t="n">
        <x:f>'Raw_CAD'!Q6-'Raw_CAD'!J6</x:f>
        <x:v>-0.013257213190796618</x:v>
      </x:c>
      <x:c r="J6" s="83" t="n">
        <x:f>'Raw_CAD'!R6-'Raw_CAD'!K6</x:f>
        <x:v>-0.02008048558124735</x:v>
      </x:c>
      <x:c r="K6" s="83" t="n">
        <x:f>'Raw_CAD'!S6-'Raw_CAD'!L6</x:f>
        <x:v>0.08588154615394145</x:v>
      </x:c>
      <x:c r="L6" s="83" t="n">
        <x:f>J6*E6+K6*F6</x:f>
        <x:v>0.014321404542541227</x:v>
      </x:c>
      <x:c r="M6" s="83" t="n">
        <x:f>J6*G6+K6*H6</x:f>
        <x:v>-0.08702737065371526</x:v>
      </x:c>
      <x:c r="N6" s="83" t="n">
        <x:f>SQRT(L6^2+M6^2)</x:f>
        <x:v>0.08819787906163197</x:v>
      </x:c>
      <x:c r="O6" s="83" t="n">
        <x:f>SQRT(I6^2+N6^2)</x:f>
        <x:v>0.08918867401501432</x:v>
      </x:c>
      <x:c r="P6" s="83" t="n">
        <x:f>C6-L6</x:f>
        <x:v>0.12567859577181587</x:v>
      </x:c>
      <x:c r="Q6" s="83" t="n">
        <x:f>SQRT(P6^2+M6^2)</x:f>
        <x:v>0.15286880871542968</x:v>
      </x:c>
      <x:c r="R6" s="83" t="n">
        <x:f>SQRT(I6^2+Q6^2)</x:f>
        <x:v>0.1534425833322056</x:v>
      </x:c>
      <x:c r="S6" s="83" t="n">
        <x:f>P6/C6</x:f>
        <x:v>0.8977042534972584</x:v>
      </x:c>
      <x:c r="T6" s="83" t="n">
        <x:f>Q6/C6</x:f>
        <x:v>1.0919200598012635</x:v>
      </x:c>
      <x:c r="U6" s="85" t="n">
        <x:f>IF(ABS(L6)&lt;0.000000000001,IF(M6&gt;=0,90,-90),DEGREES(ATAN(M6/L6))+IF(L6&lt;0,IF(M6&gt;=0,180,-180),0))</x:f>
        <x:v>-80.65504296868897</x:v>
      </x:c>
      <x:c r="V6" s="83" t="n">
        <x:f>'Raw_CAD'!T6</x:f>
        <x:v>0.015030340321921477</x:v>
      </x:c>
      <x:c r="W6" s="83" t="n">
        <x:f>V6+AC6*(J6^2+K6^2)</x:f>
        <x:v>0.027794738295756016</x:v>
      </x:c>
      <x:c r="X6" s="83" t="n">
        <x:f>V6+AC6*(('Raw_CAD'!R6-'Raw_CAD'!H6)^2+('Raw_CAD'!S6-'Raw_CAD'!I6)^2)</x:f>
        <x:v>0.05337649463420909</x:v>
      </x:c>
      <x:c r="Y6" s="83" t="n">
        <x:f>'Raw_CAD'!AC6</x:f>
        <x:v>0.027794738295756134</x:v>
      </x:c>
      <x:c r="Z6" s="83" t="n">
        <x:f>W6-Y6</x:f>
        <x:v>-1.1796119636642288e-16</x:v>
      </x:c>
      <x:c r="AA6" s="83" t="n">
        <x:f>AC6*L6</x:f>
        <x:v>0.023500097592308384</x:v>
      </x:c>
      <x:c r="AB6" s="83" t="n">
        <x:f>AC6*M6</x:f>
        <x:v>-0.14280384982417416</x:v>
      </x:c>
      <x:c r="AC6" s="83" t="n">
        <x:f>'Raw_CAD'!N6</x:f>
        <x:v>1.6409073231960016</x:v>
      </x:c>
      <x:c r="AD6" s="83" t="n">
        <x:f>'Raw_CAD'!M6</x:f>
        <x:v>1.7528030918859572e-15</x:v>
      </x:c>
      <x:c r="AE6" s="83" t="n">
        <x:f>'Raw_CAD'!F6</x:f>
        <x:v>3.143570681540808e-10</x:v>
      </x:c>
      <x:c r="AF6" s="86" t="b">
        <x:f>AND('Raw_CAD'!E6=1,ABS(AE6)&lt;0.000002)</x:f>
        <x:v>1</x:v>
      </x:c>
    </x:row>
    <x:row r="7">
      <x:c r="A7" s="82" t="str">
        <x:f>'Raw_CAD'!A7</x:f>
        <x:v>lookup_15cm</x:v>
      </x:c>
      <x:c r="B7" s="83" t="n">
        <x:f>'Raw_CAD'!B7</x:f>
        <x:v>0.15</x:v>
      </x:c>
      <x:c r="C7" s="83" t="n">
        <x:f>SQRT(('Raw_CAD'!H7-'Raw_CAD'!K7)^2+('Raw_CAD'!I7-'Raw_CAD'!L7)^2)</x:f>
        <x:v>0.14999999027350908</x:v>
      </x:c>
      <x:c r="D7" s="84" t="n">
        <x:f>IF(ABS('Raw_CAD'!I7-'Raw_CAD'!L7)&lt;0.000000000001,IF('Raw_CAD'!H7-'Raw_CAD'!K7&gt;=0,90,-90),DEGREES(ATAN(('Raw_CAD'!H7-'Raw_CAD'!K7)/('Raw_CAD'!I7-'Raw_CAD'!L7)))+IF('Raw_CAD'!I7-'Raw_CAD'!L7&lt;0,IF('Raw_CAD'!H7-'Raw_CAD'!K7&gt;=0,180,-180),0))</x:f>
        <x:v>-93.99707899465015</x:v>
      </x:c>
      <x:c r="E7" s="83" t="n">
        <x:f>('Raw_CAD'!H7-'Raw_CAD'!K7)/C7</x:f>
        <x:v>-0.9975676052294554</x:v>
      </x:c>
      <x:c r="F7" s="83" t="n">
        <x:f>('Raw_CAD'!I7-'Raw_CAD'!L7)/C7</x:f>
        <x:v>-0.06970561668021844</x:v>
      </x:c>
      <x:c r="G7" s="83" t="n">
        <x:f>-F7</x:f>
        <x:v>0.06970561668021844</x:v>
      </x:c>
      <x:c r="H7" s="83" t="n">
        <x:f>E7</x:f>
        <x:v>-0.9975676052294554</x:v>
      </x:c>
      <x:c r="I7" s="83" t="n">
        <x:f>'Raw_CAD'!Q7-'Raw_CAD'!J7</x:f>
        <x:v>-0.013257213190796611</x:v>
      </x:c>
      <x:c r="J7" s="83" t="n">
        <x:f>'Raw_CAD'!R7-'Raw_CAD'!K7</x:f>
        <x:v>-0.025130603164103038</x:v>
      </x:c>
      <x:c r="K7" s="83" t="n">
        <x:f>'Raw_CAD'!S7-'Raw_CAD'!L7</x:f>
        <x:v>0.08518688655303107</x:v>
      </x:c>
      <x:c r="L7" s="83" t="n">
        <x:f>J7*E7+K7*F7</x:f>
        <x:v>0.019131471156139206</x:v>
      </x:c>
      <x:c r="M7" s="83" t="n">
        <x:f>J7*G7+K7*H7</x:f>
        <x:v>-0.08673142260676014</x:v>
      </x:c>
      <x:c r="N7" s="83" t="n">
        <x:f>SQRT(L7^2+M7^2)</x:f>
        <x:v>0.08881639970180401</x:v>
      </x:c>
      <x:c r="O7" s="83" t="n">
        <x:f>SQRT(I7^2+N7^2)</x:f>
        <x:v>0.08980037058707967</x:v>
      </x:c>
      <x:c r="P7" s="83" t="n">
        <x:f>C7-L7</x:f>
        <x:v>0.13086851911736988</x:v>
      </x:c>
      <x:c r="Q7" s="83" t="n">
        <x:f>SQRT(P7^2+M7^2)</x:f>
        <x:v>0.1569997100741458</x:v>
      </x:c>
      <x:c r="R7" s="83" t="n">
        <x:f>SQRT(I7^2+Q7^2)</x:f>
        <x:v>0.15755844206183325</x:v>
      </x:c>
      <x:c r="S7" s="83" t="n">
        <x:f>P7/C7</x:f>
        <x:v>0.8724568506887568</x:v>
      </x:c>
      <x:c r="T7" s="83" t="n">
        <x:f>Q7/C7</x:f>
        <x:v>1.0466648016968099</x:v>
      </x:c>
      <x:c r="U7" s="85" t="n">
        <x:f>IF(ABS(L7)&lt;0.000000000001,IF(M7&gt;=0,90,-90),DEGREES(ATAN(M7/L7))+IF(L7&lt;0,IF(M7&gt;=0,180,-180),0))</x:f>
        <x:v>-77.5607279520612</x:v>
      </x:c>
      <x:c r="V7" s="83" t="n">
        <x:f>'Raw_CAD'!T7</x:f>
        <x:v>0.015150209936832078</x:v>
      </x:c>
      <x:c r="W7" s="83" t="n">
        <x:f>V7+AC7*(J7^2+K7^2)</x:f>
        <x:v>0.028094265906181165</x:v>
      </x:c>
      <x:c r="X7" s="83" t="n">
        <x:f>V7+AC7*(('Raw_CAD'!R7-'Raw_CAD'!H7)^2+('Raw_CAD'!S7-'Raw_CAD'!I7)^2)</x:f>
        <x:v>0.05559678516361062</x:v>
      </x:c>
      <x:c r="Y7" s="83" t="n">
        <x:f>'Raw_CAD'!AC7</x:f>
        <x:v>0.02809426590618129</x:v>
      </x:c>
      <x:c r="Z7" s="83" t="n">
        <x:f>W7-Y7</x:f>
        <x:v>-1.249000902703301e-16</x:v>
      </x:c>
      <x:c r="AA7" s="83" t="n">
        <x:f>AC7*L7</x:f>
        <x:v>0.031392971123621896</x:v>
      </x:c>
      <x:c r="AB7" s="83" t="n">
        <x:f>AC7*M7</x:f>
        <x:v>-0.14231822650663994</x:v>
      </x:c>
      <x:c r="AC7" s="83" t="n">
        <x:f>'Raw_CAD'!N7</x:f>
        <x:v>1.6409073231960014</x:v>
      </x:c>
      <x:c r="AD7" s="83" t="n">
        <x:f>'Raw_CAD'!M7</x:f>
        <x:v>1.7550952784515113e-15</x:v>
      </x:c>
      <x:c r="AE7" s="83" t="n">
        <x:f>'Raw_CAD'!F7</x:f>
        <x:v>-9.726490918238184e-9</x:v>
      </x:c>
      <x:c r="AF7" s="86" t="b">
        <x:f>AND('Raw_CAD'!E7=1,ABS(AE7)&lt;0.000002)</x:f>
        <x:v>1</x:v>
      </x:c>
    </x:row>
    <x:row r="8">
      <x:c r="A8" s="82" t="str">
        <x:f>'Raw_CAD'!A8</x:f>
        <x:v>lookup_16cm</x:v>
      </x:c>
      <x:c r="B8" s="83" t="n">
        <x:f>'Raw_CAD'!B8</x:f>
        <x:v>0.16</x:v>
      </x:c>
      <x:c r="C8" s="83" t="n">
        <x:f>SQRT(('Raw_CAD'!H8-'Raw_CAD'!K8)^2+('Raw_CAD'!I8-'Raw_CAD'!L8)^2)</x:f>
        <x:v>0.15999996742482145</x:v>
      </x:c>
      <x:c r="D8" s="84" t="n">
        <x:f>IF(ABS('Raw_CAD'!I8-'Raw_CAD'!L8)&lt;0.000000000001,IF('Raw_CAD'!H8-'Raw_CAD'!K8&gt;=0,90,-90),DEGREES(ATAN(('Raw_CAD'!H8-'Raw_CAD'!K8)/('Raw_CAD'!I8-'Raw_CAD'!L8)))+IF('Raw_CAD'!I8-'Raw_CAD'!L8&lt;0,IF('Raw_CAD'!H8-'Raw_CAD'!K8&gt;=0,180,-180),0))</x:f>
        <x:v>-94.3238296412934</x:v>
      </x:c>
      <x:c r="E8" s="83" t="n">
        <x:f>('Raw_CAD'!H8-'Raw_CAD'!K8)/C8</x:f>
        <x:v>-0.9971538632008184</x:v>
      </x:c>
      <x:c r="F8" s="83" t="n">
        <x:f>('Raw_CAD'!I8-'Raw_CAD'!L8)/C8</x:f>
        <x:v>-0.07539345531068013</x:v>
      </x:c>
      <x:c r="G8" s="83" t="n">
        <x:f>-F8</x:f>
        <x:v>0.07539345531068013</x:v>
      </x:c>
      <x:c r="H8" s="83" t="n">
        <x:f>E8</x:f>
        <x:v>-0.9971538632008184</x:v>
      </x:c>
      <x:c r="I8" s="83" t="n">
        <x:f>'Raw_CAD'!Q8-'Raw_CAD'!J8</x:f>
        <x:v>-0.013257213190796611</x:v>
      </x:c>
      <x:c r="J8" s="83" t="n">
        <x:f>'Raw_CAD'!R8-'Raw_CAD'!K8</x:f>
        <x:v>-0.030136724862551537</x:v>
      </x:c>
      <x:c r="K8" s="83" t="n">
        <x:f>'Raw_CAD'!S8-'Raw_CAD'!L8</x:f>
        <x:v>0.08426377476820943</x:v>
      </x:c>
      <x:c r="L8" s="83" t="n">
        <x:f>J8*E8+K8*F8</x:f>
        <x:v>0.023698014483617205</x:v>
      </x:c>
      <x:c r="M8" s="83" t="n">
        <x:f>J8*G8+K8*H8</x:f>
        <x:v>-0.08629606035713873</x:v>
      </x:c>
      <x:c r="N8" s="83" t="n">
        <x:f>SQRT(L8^2+M8^2)</x:f>
        <x:v>0.08949081474446784</x:v>
      </x:c>
      <x:c r="O8" s="83" t="n">
        <x:f>SQRT(I8^2+N8^2)</x:f>
        <x:v>0.09046745063952501</x:v>
      </x:c>
      <x:c r="P8" s="83" t="n">
        <x:f>C8-L8</x:f>
        <x:v>0.13630195294120423</x:v>
      </x:c>
      <x:c r="Q8" s="83" t="n">
        <x:f>SQRT(P8^2+M8^2)</x:f>
        <x:v>0.16132337837012087</x:v>
      </x:c>
      <x:c r="R8" s="83" t="n">
        <x:f>SQRT(I8^2+Q8^2)</x:f>
        <x:v>0.1618671866387237</x:v>
      </x:c>
      <x:c r="S8" s="83" t="n">
        <x:f>P8/C8</x:f>
        <x:v>0.8518873793224232</x:v>
      </x:c>
      <x:c r="T8" s="83" t="n">
        <x:f>Q8/C8</x:f>
        <x:v>1.0082713200921196</x:v>
      </x:c>
      <x:c r="U8" s="85" t="n">
        <x:f>IF(ABS(L8)&lt;0.000000000001,IF(M8&gt;=0,90,-90),DEGREES(ATAN(M8/L8))+IF(L8&lt;0,IF(M8&gt;=0,180,-180),0))</x:f>
        <x:v>-74.644368705435</x:v>
      </x:c>
      <x:c r="V8" s="83" t="n">
        <x:f>'Raw_CAD'!T8</x:f>
        <x:v>0.015273356793650897</x:v>
      </x:c>
      <x:c r="W8" s="83" t="n">
        <x:f>V8+AC8*(J8^2+K8^2)</x:f>
        <x:v>0.02841473690232404</x:v>
      </x:c>
      <x:c r="X8" s="83" t="n">
        <x:f>V8+AC8*(('Raw_CAD'!R8-'Raw_CAD'!H8)^2+('Raw_CAD'!S8-'Raw_CAD'!I8)^2)</x:f>
        <x:v>0.05797835124104535</x:v>
      </x:c>
      <x:c r="Y8" s="83" t="n">
        <x:f>'Raw_CAD'!AC8</x:f>
        <x:v>0.02841473690232417</x:v>
      </x:c>
      <x:c r="Z8" s="83" t="n">
        <x:f>W8-Y8</x:f>
        <x:v>-1.2836953722228372e-16</x:v>
      </x:c>
      <x:c r="AA8" s="83" t="n">
        <x:f>AC8*L8</x:f>
        <x:v>0.03888624551137238</x:v>
      </x:c>
      <x:c r="AB8" s="83" t="n">
        <x:f>AC8*M8</x:f>
        <x:v>-0.1416038374029931</x:v>
      </x:c>
      <x:c r="AC8" s="83" t="n">
        <x:f>'Raw_CAD'!N8</x:f>
        <x:v>1.6409073231960014</x:v>
      </x:c>
      <x:c r="AD8" s="83" t="n">
        <x:f>'Raw_CAD'!M8</x:f>
        <x:v>1.744453142432665e-15</x:v>
      </x:c>
      <x:c r="AE8" s="83" t="n">
        <x:f>'Raw_CAD'!F8</x:f>
        <x:v>-3.2575178554594686e-8</x:v>
      </x:c>
      <x:c r="AF8" s="86" t="b">
        <x:f>AND('Raw_CAD'!E8=1,ABS(AE8)&lt;0.000002)</x:f>
        <x:v>1</x:v>
      </x:c>
    </x:row>
    <x:row r="9">
      <x:c r="A9" s="82" t="str">
        <x:f>'Raw_CAD'!A9</x:f>
        <x:v>lookup_17cm</x:v>
      </x:c>
      <x:c r="B9" s="83" t="n">
        <x:f>'Raw_CAD'!B9</x:f>
        <x:v>0.17</x:v>
      </x:c>
      <x:c r="C9" s="83" t="n">
        <x:f>SQRT(('Raw_CAD'!H9-'Raw_CAD'!K9)^2+('Raw_CAD'!I9-'Raw_CAD'!L9)^2)</x:f>
        <x:v>0.16999993686951873</x:v>
      </x:c>
      <x:c r="D9" s="84" t="n">
        <x:f>IF(ABS('Raw_CAD'!I9-'Raw_CAD'!L9)&lt;0.000000000001,IF('Raw_CAD'!H9-'Raw_CAD'!K9&gt;=0,90,-90),DEGREES(ATAN(('Raw_CAD'!H9-'Raw_CAD'!K9)/('Raw_CAD'!I9-'Raw_CAD'!L9)))+IF('Raw_CAD'!I9-'Raw_CAD'!L9&lt;0,IF('Raw_CAD'!H9-'Raw_CAD'!K9&gt;=0,180,-180),0))</x:f>
        <x:v>-94.77147514361239</x:v>
      </x:c>
      <x:c r="E9" s="83" t="n">
        <x:f>('Raw_CAD'!H9-'Raw_CAD'!K9)/C9</x:f>
        <x:v>-0.9965343949908899</x:v>
      </x:c>
      <x:c r="F9" s="83" t="n">
        <x:f>('Raw_CAD'!I9-'Raw_CAD'!L9)/C9</x:f>
        <x:v>-0.08318172635946706</x:v>
      </x:c>
      <x:c r="G9" s="83" t="n">
        <x:f>-F9</x:f>
        <x:v>0.08318172635946706</x:v>
      </x:c>
      <x:c r="H9" s="83" t="n">
        <x:f>E9</x:f>
        <x:v>-0.9965343949908899</x:v>
      </x:c>
      <x:c r="I9" s="83" t="n">
        <x:f>'Raw_CAD'!Q9-'Raw_CAD'!J9</x:f>
        <x:v>-0.013257213190796605</x:v>
      </x:c>
      <x:c r="J9" s="83" t="n">
        <x:f>'Raw_CAD'!R9-'Raw_CAD'!K9</x:f>
        <x:v>-0.03509804903246785</x:v>
      </x:c>
      <x:c r="K9" s="83" t="n">
        <x:f>'Raw_CAD'!S9-'Raw_CAD'!L9</x:f>
        <x:v>0.08310947860358729</x:v>
      </x:c>
      <x:c r="L9" s="83" t="n">
        <x:f>J9*E9+K9*F9</x:f>
        <x:v>0.028063223150849356</x:v>
      </x:c>
      <x:c r="M9" s="83" t="n">
        <x:f>J9*G9+K9*H9</x:f>
        <x:v>-0.08574097028860407</x:v>
      </x:c>
      <x:c r="N9" s="83" t="n">
        <x:f>SQRT(L9^2+M9^2)</x:f>
        <x:v>0.09021673059718831</x:v>
      </x:c>
      <x:c r="O9" s="83" t="n">
        <x:f>SQRT(I9^2+N9^2)</x:f>
        <x:v>0.0911855919607472</x:v>
      </x:c>
      <x:c r="P9" s="83" t="n">
        <x:f>C9-L9</x:f>
        <x:v>0.14193671371866937</x:v>
      </x:c>
      <x:c r="Q9" s="83" t="n">
        <x:f>SQRT(P9^2+M9^2)</x:f>
        <x:v>0.16582383630614383</x:v>
      </x:c>
      <x:c r="R9" s="83" t="n">
        <x:f>SQRT(I9^2+Q9^2)</x:f>
        <x:v>0.16635293321391426</x:v>
      </x:c>
      <x:c r="S9" s="83" t="n">
        <x:f>P9/C9</x:f>
        <x:v>0.8349221554570992</x:v>
      </x:c>
      <x:c r="T9" s="83" t="n">
        <x:f>Q9/C9</x:f>
        <x:v>0.9754346934459146</x:v>
      </x:c>
      <x:c r="U9" s="85" t="n">
        <x:f>IF(ABS(L9)&lt;0.000000000001,IF(M9&gt;=0,90,-90),DEGREES(ATAN(M9/L9))+IF(L9&lt;0,IF(M9&gt;=0,180,-180),0))</x:f>
        <x:v>-71.8766054519977</x:v>
      </x:c>
      <x:c r="V9" s="83" t="n">
        <x:f>'Raw_CAD'!T9</x:f>
        <x:v>0.015400734225484486</x:v>
      </x:c>
      <x:c r="W9" s="83" t="n">
        <x:f>V9+AC9*(J9^2+K9^2)</x:f>
        <x:v>0.028756174888655547</x:v>
      </x:c>
      <x:c r="X9" s="83" t="n">
        <x:f>V9+AC9*(('Raw_CAD'!R9-'Raw_CAD'!H9)^2+('Raw_CAD'!S9-'Raw_CAD'!I9)^2)</x:f>
        <x:v>0.06052165667276271</x:v>
      </x:c>
      <x:c r="Y9" s="83" t="n">
        <x:f>'Raw_CAD'!AC9</x:f>
        <x:v>0.02875617488865568</x:v>
      </x:c>
      <x:c r="Z9" s="83" t="n">
        <x:f>W9-Y9</x:f>
        <x:v>-1.3183898417423734e-16</x:v>
      </x:c>
      <x:c r="AA9" s="83" t="n">
        <x:f>AC9*L9</x:f>
        <x:v>0.04604914838071228</x:v>
      </x:c>
      <x:c r="AB9" s="83" t="n">
        <x:f>AC9*M9</x:f>
        <x:v>-0.1406929860445012</x:v>
      </x:c>
      <x:c r="AC9" s="83" t="n">
        <x:f>'Raw_CAD'!N9</x:f>
        <x:v>1.6409073231960016</x:v>
      </x:c>
      <x:c r="AD9" s="83" t="n">
        <x:f>'Raw_CAD'!M9</x:f>
        <x:v>1.7213850816498977e-15</x:v>
      </x:c>
      <x:c r="AE9" s="83" t="n">
        <x:f>'Raw_CAD'!F9</x:f>
        <x:v>-6.313048128703258e-8</x:v>
      </x:c>
      <x:c r="AF9" s="86" t="b">
        <x:f>AND('Raw_CAD'!E9=1,ABS(AE9)&lt;0.000002)</x:f>
        <x:v>1</x:v>
      </x:c>
    </x:row>
    <x:row r="10">
      <x:c r="A10" s="82" t="str">
        <x:f>'Raw_CAD'!A10</x:f>
        <x:v>lookup_18cm</x:v>
      </x:c>
      <x:c r="B10" s="83" t="n">
        <x:f>'Raw_CAD'!B10</x:f>
        <x:v>0.18</x:v>
      </x:c>
      <x:c r="C10" s="83" t="n">
        <x:f>SQRT(('Raw_CAD'!H10-'Raw_CAD'!K10)^2+('Raw_CAD'!I10-'Raw_CAD'!L10)^2)</x:f>
        <x:v>0.1799999008452115</x:v>
      </x:c>
      <x:c r="D10" s="84" t="n">
        <x:f>IF(ABS('Raw_CAD'!I10-'Raw_CAD'!L10)&lt;0.000000000001,IF('Raw_CAD'!H10-'Raw_CAD'!K10&gt;=0,90,-90),DEGREES(ATAN(('Raw_CAD'!H10-'Raw_CAD'!K10)/('Raw_CAD'!I10-'Raw_CAD'!L10)))+IF('Raw_CAD'!I10-'Raw_CAD'!L10&lt;0,IF('Raw_CAD'!H10-'Raw_CAD'!K10&gt;=0,180,-180),0))</x:f>
        <x:v>-95.32179820248356</x:v>
      </x:c>
      <x:c r="E10" s="83" t="n">
        <x:f>('Raw_CAD'!H10-'Raw_CAD'!K10)/C10</x:f>
        <x:v>-0.9956894836962401</x:v>
      </x:c>
      <x:c r="F10" s="83" t="n">
        <x:f>('Raw_CAD'!I10-'Raw_CAD'!L10)/C10</x:f>
        <x:v>-0.09274940461649792</x:v>
      </x:c>
      <x:c r="G10" s="83" t="n">
        <x:f>-F10</x:f>
        <x:v>0.09274940461649792</x:v>
      </x:c>
      <x:c r="H10" s="83" t="n">
        <x:f>E10</x:f>
        <x:v>-0.9956894836962401</x:v>
      </x:c>
      <x:c r="I10" s="83" t="n">
        <x:f>'Raw_CAD'!Q10-'Raw_CAD'!J10</x:f>
        <x:v>-0.013257213190796618</x:v>
      </x:c>
      <x:c r="J10" s="83" t="n">
        <x:f>'Raw_CAD'!R10-'Raw_CAD'!K10</x:f>
        <x:v>-0.040011935481049324</x:v>
      </x:c>
      <x:c r="K10" s="83" t="n">
        <x:f>'Raw_CAD'!S10-'Raw_CAD'!L10</x:f>
        <x:v>0.08172112929784489</x:v>
      </x:c>
      <x:c r="L10" s="83" t="n">
        <x:f>J10*E10+K10*F10</x:f>
        <x:v>0.03225987729385031</x:v>
      </x:c>
      <x:c r="M10" s="83" t="n">
        <x:f>J10*G10+K10*H10</x:f>
        <x:v>-0.0850799522310659</x:v>
      </x:c>
      <x:c r="N10" s="83" t="n">
        <x:f>SQRT(L10^2+M10^2)</x:f>
        <x:v>0.09099064762191077</x:v>
      </x:c>
      <x:c r="O10" s="83" t="n">
        <x:f>SQRT(I10^2+N10^2)</x:f>
        <x:v>0.09195135483635337</x:v>
      </x:c>
      <x:c r="P10" s="83" t="n">
        <x:f>C10-L10</x:f>
        <x:v>0.14774002355136118</x:v>
      </x:c>
      <x:c r="Q10" s="83" t="n">
        <x:f>SQRT(P10^2+M10^2)</x:f>
        <x:v>0.17048669399867314</x:v>
      </x:c>
      <x:c r="R10" s="83" t="n">
        <x:f>SQRT(I10^2+Q10^2)</x:f>
        <x:v>0.17100136412375033</x:v>
      </x:c>
      <x:c r="S10" s="83" t="n">
        <x:f>P10/C10</x:f>
        <x:v>0.8207783607525886</x:v>
      </x:c>
      <x:c r="T10" s="83" t="n">
        <x:f>Q10/C10</x:f>
        <x:v>0.947148821738968</x:v>
      </x:c>
      <x:c r="U10" s="85" t="n">
        <x:f>IF(ABS(L10)&lt;0.000000000001,IF(M10&gt;=0,90,-90),DEGREES(ATAN(M10/L10))+IF(L10&lt;0,IF(M10&gt;=0,180,-180),0))</x:f>
        <x:v>-69.23470956659682</x:v>
      </x:c>
      <x:c r="V10" s="83" t="n">
        <x:f>'Raw_CAD'!T10</x:f>
        <x:v>0.01553304434795158</x:v>
      </x:c>
      <x:c r="W10" s="83" t="n">
        <x:f>V10+AC10*(J10^2+K10^2)</x:f>
        <x:v>0.029118604992666216</x:v>
      </x:c>
      <x:c r="X10" s="83" t="n">
        <x:f>V10+AC10*(('Raw_CAD'!R10-'Raw_CAD'!H10)^2+('Raw_CAD'!S10-'Raw_CAD'!I10)^2)</x:f>
        <x:v>0.06322718538559054</x:v>
      </x:c>
      <x:c r="Y10" s="83" t="n">
        <x:f>'Raw_CAD'!AC10</x:f>
        <x:v>0.02911860499266635</x:v>
      </x:c>
      <x:c r="Z10" s="83" t="n">
        <x:f>W10-Y10</x:f>
        <x:v>-1.3530843112619095e-16</x:v>
      </x:c>
      <x:c r="AA10" s="83" t="n">
        <x:f>AC10*L10</x:f>
        <x:v>0.052935468896883386</x:v>
      </x:c>
      <x:c r="AB10" s="83" t="n">
        <x:f>AC10*M10</x:f>
        <x:v>-0.13960831667312204</x:v>
      </x:c>
      <x:c r="AC10" s="83" t="n">
        <x:f>'Raw_CAD'!N10</x:f>
        <x:v>1.6409073231960016</x:v>
      </x:c>
      <x:c r="AD10" s="83" t="n">
        <x:f>'Raw_CAD'!M10</x:f>
        <x:v>1.7163605143262012e-15</x:v>
      </x:c>
      <x:c r="AE10" s="83" t="n">
        <x:f>'Raw_CAD'!F10</x:f>
        <x:v>-9.915478849098491e-8</x:v>
      </x:c>
      <x:c r="AF10" s="86" t="b">
        <x:f>AND('Raw_CAD'!E10=1,ABS(AE10)&lt;0.000002)</x:f>
        <x:v>1</x:v>
      </x:c>
    </x:row>
    <x:row r="11">
      <x:c r="A11" s="82" t="str">
        <x:f>'Raw_CAD'!A11</x:f>
        <x:v>lookup_19cm</x:v>
      </x:c>
      <x:c r="B11" s="83" t="n">
        <x:f>'Raw_CAD'!B11</x:f>
        <x:v>0.19</x:v>
      </x:c>
      <x:c r="C11" s="83" t="n">
        <x:f>SQRT(('Raw_CAD'!H11-'Raw_CAD'!K11)^2+('Raw_CAD'!I11-'Raw_CAD'!L11)^2)</x:f>
        <x:v>0.18999999999794265</x:v>
      </x:c>
      <x:c r="D11" s="84" t="n">
        <x:f>IF(ABS('Raw_CAD'!I11-'Raw_CAD'!L11)&lt;0.000000000001,IF('Raw_CAD'!H11-'Raw_CAD'!K11&gt;=0,90,-90),DEGREES(ATAN(('Raw_CAD'!H11-'Raw_CAD'!K11)/('Raw_CAD'!I11-'Raw_CAD'!L11)))+IF('Raw_CAD'!I11-'Raw_CAD'!L11&lt;0,IF('Raw_CAD'!H11-'Raw_CAD'!K11&gt;=0,180,-180),0))</x:f>
        <x:v>-95.96084721993202</x:v>
      </x:c>
      <x:c r="E11" s="83" t="n">
        <x:f>('Raw_CAD'!H11-'Raw_CAD'!K11)/C11</x:f>
        <x:v>-0.9945930921563445</x:v>
      </x:c>
      <x:c r="F11" s="83" t="n">
        <x:f>('Raw_CAD'!I11-'Raw_CAD'!L11)/C11</x:f>
        <x:v>-0.10384883742672005</x:v>
      </x:c>
      <x:c r="G11" s="83" t="n">
        <x:f>-F11</x:f>
        <x:v>0.10384883742672005</x:v>
      </x:c>
      <x:c r="H11" s="83" t="n">
        <x:f>E11</x:f>
        <x:v>-0.9945930921563445</x:v>
      </x:c>
      <x:c r="I11" s="83" t="n">
        <x:f>'Raw_CAD'!Q11-'Raw_CAD'!J11</x:f>
        <x:v>-0.013257213190796598</x:v>
      </x:c>
      <x:c r="J11" s="83" t="n">
        <x:f>'Raw_CAD'!R11-'Raw_CAD'!K11</x:f>
        <x:v>-0.044874363492250643</x:v>
      </x:c>
      <x:c r="K11" s="83" t="n">
        <x:f>'Raw_CAD'!S11-'Raw_CAD'!L11</x:f>
        <x:v>0.08009563658300697</x:v>
      </x:c>
      <x:c r="L11" s="83" t="n">
        <x:f>J11*E11+K11*F11</x:f>
        <x:v>0.036313893202207</x:v>
      </x:c>
      <x:c r="M11" s="83" t="n">
        <x:f>J11*G11+K11*H11</x:f>
        <x:v>-0.08432271733625801</x:v>
      </x:c>
      <x:c r="N11" s="83" t="n">
        <x:f>SQRT(L11^2+M11^2)</x:f>
        <x:v>0.0918096917458705</x:v>
      </x:c>
      <x:c r="O11" s="83" t="n">
        <x:f>SQRT(I11^2+N11^2)</x:f>
        <x:v>0.09276191675498083</x:v>
      </x:c>
      <x:c r="P11" s="83" t="n">
        <x:f>C11-L11</x:f>
        <x:v>0.15368610679573563</x:v>
      </x:c>
      <x:c r="Q11" s="83" t="n">
        <x:f>SQRT(P11^2+M11^2)</x:f>
        <x:v>0.17529900193954534</x:v>
      </x:c>
      <x:c r="R11" s="83" t="n">
        <x:f>SQRT(I11^2+Q11^2)</x:f>
        <x:v>0.1757995841365586</x:v>
      </x:c>
      <x:c r="S11" s="83" t="n">
        <x:f>P11/C11</x:f>
        <x:v>0.808874246302104</x:v>
      </x:c>
      <x:c r="T11" s="83" t="n">
        <x:f>Q11/C11</x:f>
        <x:v>0.9226263260075974</x:v>
      </x:c>
      <x:c r="U11" s="85" t="n">
        <x:f>IF(ABS(L11)&lt;0.000000000001,IF(M11&gt;=0,90,-90),DEGREES(ATAN(M11/L11))+IF(L11&lt;0,IF(M11&gt;=0,180,-180),0))</x:f>
        <x:v>-66.70069134738733</x:v>
      </x:c>
      <x:c r="V11" s="83" t="n">
        <x:f>'Raw_CAD'!T11</x:f>
        <x:v>0.015670819349413345</x:v>
      </x:c>
      <x:c r="W11" s="83" t="n">
        <x:f>V11+AC11*(J11^2+K11^2)</x:f>
        <x:v>0.02950205917181755</x:v>
      </x:c>
      <x:c r="X11" s="83" t="n">
        <x:f>V11+AC11*(('Raw_CAD'!R11-'Raw_CAD'!H11)^2+('Raw_CAD'!S11-'Raw_CAD'!I11)^2)</x:f>
        <x:v>0.06609547488823712</x:v>
      </x:c>
      <x:c r="Y11" s="83" t="n">
        <x:f>'Raw_CAD'!AC11</x:f>
        <x:v>0.029502059171817686</x:v>
      </x:c>
      <x:c r="Z11" s="83" t="n">
        <x:f>W11-Y11</x:f>
        <x:v>-1.3530843112619095e-16</x:v>
      </x:c>
      <x:c r="AA11" s="83" t="n">
        <x:f>AC11*L11</x:f>
        <x:v>0.05958773328925897</x:v>
      </x:c>
      <x:c r="AB11" s="83" t="n">
        <x:f>AC11*M11</x:f>
        <x:v>-0.13836576438885223</x:v>
      </x:c>
      <x:c r="AC11" s="83" t="n">
        <x:f>'Raw_CAD'!N11</x:f>
        <x:v>1.6409073231960016</x:v>
      </x:c>
      <x:c r="AD11" s="83" t="n">
        <x:f>'Raw_CAD'!M11</x:f>
        <x:v>1.715195939391036e-15</x:v>
      </x:c>
      <x:c r="AE11" s="83" t="n">
        <x:f>'Raw_CAD'!F11</x:f>
        <x:v>-2.0573542869328776e-12</x:v>
      </x:c>
      <x:c r="AF11" s="86" t="b">
        <x:f>AND('Raw_CAD'!E11=1,ABS(AE11)&lt;0.000002)</x:f>
        <x:v>1</x:v>
      </x:c>
    </x:row>
    <x:row r="12">
      <x:c r="A12" s="82" t="str">
        <x:f>'Raw_CAD'!A12</x:f>
        <x:v>lookup_20cm</x:v>
      </x:c>
      <x:c r="B12" s="83" t="n">
        <x:f>'Raw_CAD'!B12</x:f>
        <x:v>0.2</x:v>
      </x:c>
      <x:c r="C12" s="83" t="n">
        <x:f>SQRT(('Raw_CAD'!H12-'Raw_CAD'!K12)^2+('Raw_CAD'!I12-'Raw_CAD'!L12)^2)</x:f>
        <x:v>0.19999999999644272</x:v>
      </x:c>
      <x:c r="D12" s="84" t="n">
        <x:f>IF(ABS('Raw_CAD'!I12-'Raw_CAD'!L12)&lt;0.000000000001,IF('Raw_CAD'!H12-'Raw_CAD'!K12&gt;=0,90,-90),DEGREES(ATAN(('Raw_CAD'!H12-'Raw_CAD'!K12)/('Raw_CAD'!I12-'Raw_CAD'!L12)))+IF('Raw_CAD'!I12-'Raw_CAD'!L12&lt;0,IF('Raw_CAD'!H12-'Raw_CAD'!K12&gt;=0,180,-180),0))</x:f>
        <x:v>-96.67781582292957</x:v>
      </x:c>
      <x:c r="E12" s="83" t="n">
        <x:f>('Raw_CAD'!H12-'Raw_CAD'!K12)/C12</x:f>
        <x:v>-0.9932157484771246</x:v>
      </x:c>
      <x:c r="F12" s="83" t="n">
        <x:f>('Raw_CAD'!I12-'Raw_CAD'!L12)/C12</x:f>
        <x:v>-0.11628618566719567</x:v>
      </x:c>
      <x:c r="G12" s="83" t="n">
        <x:f>-F12</x:f>
        <x:v>0.11628618566719567</x:v>
      </x:c>
      <x:c r="H12" s="83" t="n">
        <x:f>E12</x:f>
        <x:v>-0.9932157484771246</x:v>
      </x:c>
      <x:c r="I12" s="83" t="n">
        <x:f>'Raw_CAD'!Q12-'Raw_CAD'!J12</x:f>
        <x:v>-0.01325721319079657</x:v>
      </x:c>
      <x:c r="J12" s="83" t="n">
        <x:f>'Raw_CAD'!R12-'Raw_CAD'!K12</x:f>
        <x:v>-0.04967993256236847</x:v>
      </x:c>
      <x:c r="K12" s="83" t="n">
        <x:f>'Raw_CAD'!S12-'Raw_CAD'!L12</x:f>
        <x:v>0.07822973216084225</x:v>
      </x:c>
      <x:c r="L12" s="83" t="n">
        <x:f>J12*E12+K12*F12</x:f>
        <x:v>0.04024585424547518</x:v>
      </x:c>
      <x:c r="M12" s="83" t="n">
        <x:f>J12*G12+K12*H12</x:f>
        <x:v>-0.08347609184317727</x:v>
      </x:c>
      <x:c r="N12" s="83" t="n">
        <x:f>SQRT(L12^2+M12^2)</x:f>
        <x:v>0.09267139091088791</x:v>
      </x:c>
      <x:c r="O12" s="83" t="n">
        <x:f>SQRT(I12^2+N12^2)</x:f>
        <x:v>0.09361485135887804</x:v>
      </x:c>
      <x:c r="P12" s="83" t="n">
        <x:f>C12-L12</x:f>
        <x:v>0.15975414575096752</x:v>
      </x:c>
      <x:c r="Q12" s="83" t="n">
        <x:f>SQRT(P12^2+M12^2)</x:f>
        <x:v>0.18024884186599352</x:v>
      </x:c>
      <x:c r="R12" s="83" t="n">
        <x:f>SQRT(I12^2+Q12^2)</x:f>
        <x:v>0.18073571505272046</x:v>
      </x:c>
      <x:c r="S12" s="83" t="n">
        <x:f>P12/C12</x:f>
        <x:v>0.7987707287690449</x:v>
      </x:c>
      <x:c r="T12" s="83" t="n">
        <x:f>Q12/C12</x:f>
        <x:v>0.9012442093459975</x:v>
      </x:c>
      <x:c r="U12" s="85" t="n">
        <x:f>IF(ABS(L12)&lt;0.000000000001,IF(M12&gt;=0,90,-90),DEGREES(ATAN(M12/L12))+IF(L12&lt;0,IF(M12&gt;=0,180,-180),0))</x:f>
        <x:v>-64.260153293518</x:v>
      </x:c>
      <x:c r="V12" s="83" t="n">
        <x:f>'Raw_CAD'!T12</x:f>
        <x:v>0.015814465936028775</x:v>
      </x:c>
      <x:c r="W12" s="83" t="n">
        <x:f>V12+AC12*(J12^2+K12^2)</x:f>
        <x:v>0.029906556192670707</x:v>
      </x:c>
      <x:c r="X12" s="83" t="n">
        <x:f>V12+AC12*(('Raw_CAD'!R12-'Raw_CAD'!H12)^2+('Raw_CAD'!S12-'Raw_CAD'!I12)^2)</x:f>
        <x:v>0.06912696233477411</x:v>
      </x:c>
      <x:c r="Y12" s="83" t="n">
        <x:f>'Raw_CAD'!AC12</x:f>
        <x:v>0.029906556192670852</x:v>
      </x:c>
      <x:c r="Z12" s="83" t="n">
        <x:f>W12-Y12</x:f>
        <x:v>-1.457167719820518e-16</x:v>
      </x:c>
      <x:c r="AA12" s="83" t="n">
        <x:f>AC12*L12</x:f>
        <x:v>0.06603971695967911</x:v>
      </x:c>
      <x:c r="AB12" s="83" t="n">
        <x:f>AC12*M12</x:f>
        <x:v>-0.1369765304172516</x:v>
      </x:c>
      <x:c r="AC12" s="83" t="n">
        <x:f>'Raw_CAD'!N12</x:f>
        <x:v>1.6409073231960016</x:v>
      </x:c>
      <x:c r="AD12" s="83" t="n">
        <x:f>'Raw_CAD'!M12</x:f>
        <x:v>1.7050531655582542e-15</x:v>
      </x:c>
      <x:c r="AE12" s="83" t="n">
        <x:f>'Raw_CAD'!F12</x:f>
        <x:v>-3.5572933487770797e-12</x:v>
      </x:c>
      <x:c r="AF12" s="86" t="b">
        <x:f>AND('Raw_CAD'!E12=1,ABS(AE12)&lt;0.000002)</x:f>
        <x:v>1</x:v>
      </x:c>
    </x:row>
    <x:row r="13">
      <x:c r="A13" s="82" t="str">
        <x:f>'Raw_CAD'!A13</x:f>
        <x:v>lookup_21cm</x:v>
      </x:c>
      <x:c r="B13" s="83" t="n">
        <x:f>'Raw_CAD'!B13</x:f>
        <x:v>0.21</x:v>
      </x:c>
      <x:c r="C13" s="83" t="n">
        <x:f>SQRT(('Raw_CAD'!H13-'Raw_CAD'!K13)^2+('Raw_CAD'!I13-'Raw_CAD'!L13)^2)</x:f>
        <x:v>0.20999999999427574</x:v>
      </x:c>
      <x:c r="D13" s="84" t="n">
        <x:f>IF(ABS('Raw_CAD'!I13-'Raw_CAD'!L13)&lt;0.000000000001,IF('Raw_CAD'!H13-'Raw_CAD'!K13&gt;=0,90,-90),DEGREES(ATAN(('Raw_CAD'!H13-'Raw_CAD'!K13)/('Raw_CAD'!I13-'Raw_CAD'!L13)))+IF('Raw_CAD'!I13-'Raw_CAD'!L13&lt;0,IF('Raw_CAD'!H13-'Raw_CAD'!K13&gt;=0,180,-180),0))</x:f>
        <x:v>-97.46433081163165</x:v>
      </x:c>
      <x:c r="E13" s="83" t="n">
        <x:f>('Raw_CAD'!H13-'Raw_CAD'!K13)/C13</x:f>
        <x:v>-0.9915259276448201</x:v>
      </x:c>
      <x:c r="F13" s="83" t="n">
        <x:f>('Raw_CAD'!I13-'Raw_CAD'!L13)/C13</x:f>
        <x:v>-0.1299089481447646</x:v>
      </x:c>
      <x:c r="G13" s="83" t="n">
        <x:f>-F13</x:f>
        <x:v>0.1299089481447646</x:v>
      </x:c>
      <x:c r="H13" s="83" t="n">
        <x:f>E13</x:f>
        <x:v>-0.9915259276448201</x:v>
      </x:c>
      <x:c r="I13" s="83" t="n">
        <x:f>'Raw_CAD'!Q13-'Raw_CAD'!J13</x:f>
        <x:v>-0.013257213190796618</x:v>
      </x:c>
      <x:c r="J13" s="83" t="n">
        <x:f>'Raw_CAD'!R13-'Raw_CAD'!K13</x:f>
        <x:v>-0.054422362977692956</x:v>
      </x:c>
      <x:c r="K13" s="83" t="n">
        <x:f>'Raw_CAD'!S13-'Raw_CAD'!L13</x:f>
        <x:v>0.07611982296807843</x:v>
      </x:c>
      <x:c r="L13" s="83" t="n">
        <x:f>J13*E13+K13*F13</x:f>
        <x:v>0.04407253780133136</x:v>
      </x:c>
      <x:c r="M13" s="83" t="n">
        <x:f>J13*G13+K13*H13</x:f>
        <x:v>-0.08254473001056813</x:v>
      </x:c>
      <x:c r="N13" s="83" t="n">
        <x:f>SQRT(L13^2+M13^2)</x:f>
        <x:v>0.09357361295134098</x:v>
      </x:c>
      <x:c r="O13" s="83" t="n">
        <x:f>SQRT(I13^2+N13^2)</x:f>
        <x:v>0.09450806707553383</x:v>
      </x:c>
      <x:c r="P13" s="83" t="n">
        <x:f>C13-L13</x:f>
        <x:v>0.16592746219294438</x:v>
      </x:c>
      <x:c r="Q13" s="83" t="n">
        <x:f>SQRT(P13^2+M13^2)</x:f>
        <x:v>0.1853255383435013</x:v>
      </x:c>
      <x:c r="R13" s="83" t="n">
        <x:f>SQRT(I13^2+Q13^2)</x:f>
        <x:v>0.18579910888886095</x:v>
      </x:c>
      <x:c r="S13" s="83" t="n">
        <x:f>P13/C13</x:f>
        <x:v>0.7901307723688918</x:v>
      </x:c>
      <x:c r="T13" s="83" t="n">
        <x:f>Q13/C13</x:f>
        <x:v>0.8825025635645379</x:v>
      </x:c>
      <x:c r="U13" s="85" t="n">
        <x:f>IF(ABS(L13)&lt;0.000000000001,IF(M13&gt;=0,90,-90),DEGREES(ATAN(M13/L13))+IF(L13&lt;0,IF(M13&gt;=0,180,-180),0))</x:f>
        <x:v>-61.90121170591755</x:v>
      </x:c>
      <x:c r="V13" s="83" t="n">
        <x:f>'Raw_CAD'!T13</x:f>
        <x:v>0.015964309404712194</x:v>
      </x:c>
      <x:c r="W13" s="83" t="n">
        <x:f>V13+AC13*(J13^2+K13^2)</x:f>
        <x:v>0.030332128452565638</x:v>
      </x:c>
      <x:c r="X13" s="83" t="n">
        <x:f>V13+AC13*(('Raw_CAD'!R13-'Raw_CAD'!H13)^2+('Raw_CAD'!S13-'Raw_CAD'!I13)^2)</x:f>
        <x:v>0.07232218238977656</x:v>
      </x:c>
      <x:c r="Y13" s="83" t="n">
        <x:f>'Raw_CAD'!AC13</x:f>
        <x:v>0.030332128452565783</x:v>
      </x:c>
      <x:c r="Z13" s="83" t="n">
        <x:f>W13-Y13</x:f>
        <x:v>-1.457167719820518e-16</x:v>
      </x:c>
      <x:c r="AA13" s="83" t="n">
        <x:f>AC13*L13</x:f>
        <x:v>0.07231895003003723</x:v>
      </x:c>
      <x:c r="AB13" s="83" t="n">
        <x:f>AC13*M13</x:f>
        <x:v>-0.135448251965578</x:v>
      </x:c>
      <x:c r="AC13" s="83" t="n">
        <x:f>'Raw_CAD'!N13</x:f>
        <x:v>1.6409073231960014</x:v>
      </x:c>
      <x:c r="AD13" s="83" t="n">
        <x:f>'Raw_CAD'!M13</x:f>
        <x:v>1.6966704150014343e-15</x:v>
      </x:c>
      <x:c r="AE13" s="83" t="n">
        <x:f>'Raw_CAD'!F13</x:f>
        <x:v>-5.724254403816076e-12</x:v>
      </x:c>
      <x:c r="AF13" s="86" t="b">
        <x:f>AND('Raw_CAD'!E13=1,ABS(AE13)&lt;0.000002)</x:f>
        <x:v>1</x:v>
      </x:c>
    </x:row>
    <x:row r="14">
      <x:c r="A14" s="82" t="str">
        <x:f>'Raw_CAD'!A14</x:f>
        <x:v>lookup_22cm</x:v>
      </x:c>
      <x:c r="B14" s="83" t="n">
        <x:f>'Raw_CAD'!B14</x:f>
        <x:v>0.22</x:v>
      </x:c>
      <x:c r="C14" s="83" t="n">
        <x:f>SQRT(('Raw_CAD'!H14-'Raw_CAD'!K14)^2+('Raw_CAD'!I14-'Raw_CAD'!L14)^2)</x:f>
        <x:v>0.21999999999125355</x:v>
      </x:c>
      <x:c r="D14" s="84" t="n">
        <x:f>IF(ABS('Raw_CAD'!I14-'Raw_CAD'!L14)&lt;0.000000000001,IF('Raw_CAD'!H14-'Raw_CAD'!K14&gt;=0,90,-90),DEGREES(ATAN(('Raw_CAD'!H14-'Raw_CAD'!K14)/('Raw_CAD'!I14-'Raw_CAD'!L14)))+IF('Raw_CAD'!I14-'Raw_CAD'!L14&lt;0,IF('Raw_CAD'!H14-'Raw_CAD'!K14&gt;=0,180,-180),0))</x:f>
        <x:v>-98.31388946949</x:v>
      </x:c>
      <x:c r="E14" s="83" t="n">
        <x:f>('Raw_CAD'!H14-'Raw_CAD'!K14)/C14</x:f>
        <x:v>-0.9894907656006631</x:v>
      </x:c>
      <x:c r="F14" s="83" t="n">
        <x:f>('Raw_CAD'!I14-'Raw_CAD'!L14)/C14</x:f>
        <x:v>-0.14459607460444374</x:v>
      </x:c>
      <x:c r="G14" s="83" t="n">
        <x:f>-F14</x:f>
        <x:v>0.14459607460444374</x:v>
      </x:c>
      <x:c r="H14" s="83" t="n">
        <x:f>E14</x:f>
        <x:v>-0.9894907656006631</x:v>
      </x:c>
      <x:c r="I14" s="83" t="n">
        <x:f>'Raw_CAD'!Q14-'Raw_CAD'!J14</x:f>
        <x:v>-0.013257213190796611</x:v>
      </x:c>
      <x:c r="J14" s="83" t="n">
        <x:f>'Raw_CAD'!R14-'Raw_CAD'!K14</x:f>
        <x:v>-0.0590943729663124</x:v>
      </x:c>
      <x:c r="K14" s="83" t="n">
        <x:f>'Raw_CAD'!S14-'Raw_CAD'!L14</x:f>
        <x:v>0.07376202524155384</x:v>
      </x:c>
      <x:c r="L14" s="83" t="n">
        <x:f>J14*E14+K14*F14</x:f>
        <x:v>0.047807637044325</x:v>
      </x:c>
      <x:c r="M14" s="83" t="n">
        <x:f>J14*G14+K14*H14</x:f>
        <x:v>-0.08153165719066027</x:v>
      </x:c>
      <x:c r="N14" s="83" t="n">
        <x:f>SQRT(L14^2+M14^2)</x:f>
        <x:v>0.09451445013339103</x:v>
      </x:c>
      <x:c r="O14" s="83" t="n">
        <x:f>SQRT(I14^2+N14^2)</x:f>
        <x:v>0.09543969292492245</x:v>
      </x:c>
      <x:c r="P14" s="83" t="n">
        <x:f>C14-L14</x:f>
        <x:v>0.17219236294692855</x:v>
      </x:c>
      <x:c r="Q14" s="83" t="n">
        <x:f>SQRT(P14^2+M14^2)</x:f>
        <x:v>0.19051934542587037</x:v>
      </x:c>
      <x:c r="R14" s="83" t="n">
        <x:f>SQRT(I14^2+Q14^2)</x:f>
        <x:v>0.19098003739419558</x:v>
      </x:c>
      <x:c r="S14" s="83" t="n">
        <x:f>P14/C14</x:f>
        <x:v>0.7826925588807924</x:v>
      </x:c>
      <x:c r="T14" s="83" t="n">
        <x:f>Q14/C14</x:f>
        <x:v>0.8659970246974762</x:v>
      </x:c>
      <x:c r="U14" s="85" t="n">
        <x:f>IF(ABS(L14)&lt;0.000000000001,IF(M14&gt;=0,90,-90),DEGREES(ATAN(M14/L14))+IF(L14&lt;0,IF(M14&gt;=0,180,-180),0))</x:f>
        <x:v>-59.61396162884323</x:v>
      </x:c>
      <x:c r="V14" s="83" t="n">
        <x:f>'Raw_CAD'!T14</x:f>
        <x:v>0.016120611219069762</x:v>
      </x:c>
      <x:c r="W14" s="83" t="n">
        <x:f>V14+AC14*(J14^2+K14^2)</x:f>
        <x:v>0.0307788056259865</x:v>
      </x:c>
      <x:c r="X14" s="83" t="n">
        <x:f>V14+AC14*(('Raw_CAD'!R14-'Raw_CAD'!H14)^2+('Raw_CAD'!S14-'Raw_CAD'!I14)^2)</x:f>
        <x:v>0.07568164330220942</x:v>
      </x:c>
      <x:c r="Y14" s="83" t="n">
        <x:f>'Raw_CAD'!AC14</x:f>
        <x:v>0.03077880562598665</x:v>
      </x:c>
      <x:c r="Z14" s="83" t="n">
        <x:f>W14-Y14</x:f>
        <x:v>-1.491862189340054e-16</x:v>
      </x:c>
      <x:c r="AA14" s="83" t="n">
        <x:f>AC14*L14</x:f>
        <x:v>0.07844790173072934</x:v>
      </x:c>
      <x:c r="AB14" s="83" t="n">
        <x:f>AC14*M14</x:f>
        <x:v>-0.13378589335646038</x:v>
      </x:c>
      <x:c r="AC14" s="83" t="n">
        <x:f>'Raw_CAD'!N14</x:f>
        <x:v>1.6409073231960014</x:v>
      </x:c>
      <x:c r="AD14" s="83" t="n">
        <x:f>'Raw_CAD'!M14</x:f>
        <x:v>1.6877575712723597e-15</x:v>
      </x:c>
      <x:c r="AE14" s="83" t="n">
        <x:f>'Raw_CAD'!F14</x:f>
        <x:v>-8.746448010299446e-12</x:v>
      </x:c>
      <x:c r="AF14" s="86" t="b">
        <x:f>AND('Raw_CAD'!E14=1,ABS(AE14)&lt;0.000002)</x:f>
        <x:v>1</x:v>
      </x:c>
    </x:row>
    <x:row r="15">
      <x:c r="A15" s="82" t="str">
        <x:f>'Raw_CAD'!A15</x:f>
        <x:v>lookup_23cm</x:v>
      </x:c>
      <x:c r="B15" s="83" t="n">
        <x:f>'Raw_CAD'!B15</x:f>
        <x:v>0.23</x:v>
      </x:c>
      <x:c r="C15" s="83" t="n">
        <x:f>SQRT(('Raw_CAD'!H15-'Raw_CAD'!K15)^2+('Raw_CAD'!I15-'Raw_CAD'!L15)^2)</x:f>
        <x:v>0.22999999998710188</x:v>
      </x:c>
      <x:c r="D15" s="84" t="n">
        <x:f>IF(ABS('Raw_CAD'!I15-'Raw_CAD'!L15)&lt;0.000000000001,IF('Raw_CAD'!H15-'Raw_CAD'!K15&gt;=0,90,-90),DEGREES(ATAN(('Raw_CAD'!H15-'Raw_CAD'!K15)/('Raw_CAD'!I15-'Raw_CAD'!L15)))+IF('Raw_CAD'!I15-'Raw_CAD'!L15&lt;0,IF('Raw_CAD'!H15-'Raw_CAD'!K15&gt;=0,180,-180),0))</x:f>
        <x:v>-99.22148030112281</x:v>
      </x:c>
      <x:c r="E15" s="83" t="n">
        <x:f>('Raw_CAD'!H15-'Raw_CAD'!K15)/C15</x:f>
        <x:v>-0.987076255928998</x:v>
      </x:c>
      <x:c r="F15" s="83" t="n">
        <x:f>('Raw_CAD'!I15-'Raw_CAD'!L15)/C15</x:f>
        <x:v>-0.16025125578662858</x:v>
      </x:c>
      <x:c r="G15" s="83" t="n">
        <x:f>-F15</x:f>
        <x:v>0.16025125578662858</x:v>
      </x:c>
      <x:c r="H15" s="83" t="n">
        <x:f>E15</x:f>
        <x:v>-0.987076255928998</x:v>
      </x:c>
      <x:c r="I15" s="83" t="n">
        <x:f>'Raw_CAD'!Q15-'Raw_CAD'!J15</x:f>
        <x:v>-0.013257213190796556</x:v>
      </x:c>
      <x:c r="J15" s="83" t="n">
        <x:f>'Raw_CAD'!R15-'Raw_CAD'!K15</x:f>
        <x:v>-0.06368776519420283</x:v>
      </x:c>
      <x:c r="K15" s="83" t="n">
        <x:f>'Raw_CAD'!S15-'Raw_CAD'!L15</x:f>
        <x:v>0.07115211474543934</x:v>
      </x:c>
      <x:c r="L15" s="83" t="n">
        <x:f>J15*E15+K15*F15</x:f>
        <x:v>0.05146246507654793</x:v>
      </x:c>
      <x:c r="M15" s="83" t="n">
        <x:f>J15*G15+K15*H15</x:f>
        <x:v>-0.08043860737497364</x:v>
      </x:c>
      <x:c r="N15" s="83" t="n">
        <x:f>SQRT(L15^2+M15^2)</x:f>
        <x:v>0.09549217176386805</x:v>
      </x:c>
      <x:c r="O15" s="83" t="n">
        <x:f>SQRT(I15^2+N15^2)</x:f>
        <x:v>0.09640803166627929</x:v>
      </x:c>
      <x:c r="P15" s="83" t="n">
        <x:f>C15-L15</x:f>
        <x:v>0.17853753491055396</x:v>
      </x:c>
      <x:c r="Q15" s="83" t="n">
        <x:f>SQRT(P15^2+M15^2)</x:f>
        <x:v>0.19582140058829742</x:v>
      </x:c>
      <x:c r="R15" s="83" t="n">
        <x:f>SQRT(I15^2+Q15^2)</x:f>
        <x:v>0.1962696477551959</x:v>
      </x:c>
      <x:c r="S15" s="83" t="n">
        <x:f>P15/C15</x:f>
        <x:v>0.7762501518285484</x:v>
      </x:c>
      <x:c r="T15" s="83" t="n">
        <x:f>Q15/C15</x:f>
        <x:v>0.851397393909908</x:v>
      </x:c>
      <x:c r="U15" s="85" t="n">
        <x:f>IF(ABS(L15)&lt;0.000000000001,IF(M15&gt;=0,90,-90),DEGREES(ATAN(M15/L15))+IF(L15&lt;0,IF(M15&gt;=0,180,-180),0))</x:f>
        <x:v>-57.38997666498117</x:v>
      </x:c>
      <x:c r="V15" s="83" t="n">
        <x:f>'Raw_CAD'!T15</x:f>
        <x:v>0.016283586670691016</x:v>
      </x:c>
      <x:c r="W15" s="83" t="n">
        <x:f>V15+AC15*(J15^2+K15^2)</x:f>
        <x:v>0.0312466183123169</x:v>
      </x:c>
      <x:c r="X15" s="83" t="n">
        <x:f>V15+AC15*(('Raw_CAD'!R15-'Raw_CAD'!H15)^2+('Raw_CAD'!S15-'Raw_CAD'!I15)^2)</x:f>
        <x:v>0.07920585322746808</x:v>
      </x:c>
      <x:c r="Y15" s="83" t="n">
        <x:f>'Raw_CAD'!AC15</x:f>
        <x:v>0.031246618312317048</x:v>
      </x:c>
      <x:c r="Z15" s="83" t="n">
        <x:f>W15-Y15</x:f>
        <x:v>-1.491862189340054e-16</x:v>
      </x:c>
      <x:c r="AA15" s="83" t="n">
        <x:f>AC15*L15</x:f>
        <x:v>0.08444513581382597</x:v>
      </x:c>
      <x:c r="AB15" s="83" t="n">
        <x:f>AC15*M15</x:f>
        <x:v>-0.13199229990928216</x:v>
      </x:c>
      <x:c r="AC15" s="83" t="n">
        <x:f>'Raw_CAD'!N15</x:f>
        <x:v>1.6409073231960016</x:v>
      </x:c>
      <x:c r="AD15" s="83" t="n">
        <x:f>'Raw_CAD'!M15</x:f>
        <x:v>1.6750935775328828e-15</x:v>
      </x:c>
      <x:c r="AE15" s="83" t="n">
        <x:f>'Raw_CAD'!F15</x:f>
        <x:v>-1.2898127010885219e-11</x:v>
      </x:c>
      <x:c r="AF15" s="86" t="b">
        <x:f>AND('Raw_CAD'!E15=1,ABS(AE15)&lt;0.000002)</x:f>
        <x:v>1</x:v>
      </x:c>
    </x:row>
    <x:row r="16">
      <x:c r="A16" s="82" t="str">
        <x:f>'Raw_CAD'!A16</x:f>
        <x:v>lookup_24cm</x:v>
      </x:c>
      <x:c r="B16" s="83" t="n">
        <x:f>'Raw_CAD'!B16</x:f>
        <x:v>0.24</x:v>
      </x:c>
      <x:c r="C16" s="83" t="n">
        <x:f>SQRT(('Raw_CAD'!H16-'Raw_CAD'!K16)^2+('Raw_CAD'!I16-'Raw_CAD'!L16)^2)</x:f>
        <x:v>0.2399999999814412</x:v>
      </x:c>
      <x:c r="D16" s="84" t="n">
        <x:f>IF(ABS('Raw_CAD'!I16-'Raw_CAD'!L16)&lt;0.000000000001,IF('Raw_CAD'!H16-'Raw_CAD'!K16&gt;=0,90,-90),DEGREES(ATAN(('Raw_CAD'!H16-'Raw_CAD'!K16)/('Raw_CAD'!I16-'Raw_CAD'!L16)))+IF('Raw_CAD'!I16-'Raw_CAD'!L16&lt;0,IF('Raw_CAD'!H16-'Raw_CAD'!K16&gt;=0,180,-180),0))</x:f>
        <x:v>-100.1833041727609</x:v>
      </x:c>
      <x:c r="E16" s="83" t="n">
        <x:f>('Raw_CAD'!H16-'Raw_CAD'!K16)/C16</x:f>
        <x:v>-0.9842471681731723</x:v>
      </x:c>
      <x:c r="F16" s="83" t="n">
        <x:f>('Raw_CAD'!I16-'Raw_CAD'!L16)/C16</x:f>
        <x:v>-0.17679794100353974</x:v>
      </x:c>
      <x:c r="G16" s="83" t="n">
        <x:f>-F16</x:f>
        <x:v>0.17679794100353974</x:v>
      </x:c>
      <x:c r="H16" s="83" t="n">
        <x:f>E16</x:f>
        <x:v>-0.9842471681731723</x:v>
      </x:c>
      <x:c r="I16" s="83" t="n">
        <x:f>'Raw_CAD'!Q16-'Raw_CAD'!J16</x:f>
        <x:v>-0.013257213190796577</x:v>
      </x:c>
      <x:c r="J16" s="83" t="n">
        <x:f>'Raw_CAD'!R16-'Raw_CAD'!K16</x:f>
        <x:v>-0.06819342440725998</x:v>
      </x:c>
      <x:c r="K16" s="83" t="n">
        <x:f>'Raw_CAD'!S16-'Raw_CAD'!L16</x:f>
        <x:v>0.06828548705415494</x:v>
      </x:c>
      <x:c r="L16" s="83" t="n">
        <x:f>J16*E16+K16*F16</x:f>
        <x:v>0.055046451349278464</x:v>
      </x:c>
      <x:c r="M16" s="83" t="n">
        <x:f>J16*G16+K16*H16</x:f>
        <x:v>-0.0792662542855619</x:v>
      </x:c>
      <x:c r="N16" s="83" t="n">
        <x:f>SQRT(L16^2+M16^2)</x:f>
        <x:v>0.0965051857394816</x:v>
      </x:c>
      <x:c r="O16" s="83" t="n">
        <x:f>SQRT(I16^2+N16^2)</x:f>
        <x:v>0.09741152178360665</x:v>
      </x:c>
      <x:c r="P16" s="83" t="n">
        <x:f>C16-L16</x:f>
        <x:v>0.18495354863216273</x:v>
      </x:c>
      <x:c r="Q16" s="83" t="n">
        <x:f>SQRT(P16^2+M16^2)</x:f>
        <x:v>0.20122364229904285</x:v>
      </x:c>
      <x:c r="R16" s="83" t="n">
        <x:f>SQRT(I16^2+Q16^2)</x:f>
        <x:v>0.20165988178534514</x:v>
      </x:c>
      <x:c r="S16" s="83" t="n">
        <x:f>P16/C16</x:f>
        <x:v>0.7706397860269371</x:v>
      </x:c>
      <x:c r="T16" s="83" t="n">
        <x:f>Q16/C16</x:f>
        <x:v>0.838431842977513</x:v>
      </x:c>
      <x:c r="U16" s="85" t="n">
        <x:f>IF(ABS(L16)&lt;0.000000000001,IF(M16&gt;=0,90,-90),DEGREES(ATAN(M16/L16))+IF(L16&lt;0,IF(M16&gt;=0,180,-180),0))</x:f>
        <x:v>-55.22195336963202</x:v>
      </x:c>
      <x:c r="V16" s="83" t="n">
        <x:f>'Raw_CAD'!T16</x:f>
        <x:v>0.01645341645831665</x:v>
      </x:c>
      <x:c r="W16" s="83" t="n">
        <x:f>V16+AC16*(J16^2+K16^2)</x:f>
        <x:v>0.031735598021228786</x:v>
      </x:c>
      <x:c r="X16" s="83" t="n">
        <x:f>V16+AC16*(('Raw_CAD'!R16-'Raw_CAD'!H16)^2+('Raw_CAD'!S16-'Raw_CAD'!I16)^2)</x:f>
        <x:v>0.08289531976126151</x:v>
      </x:c>
      <x:c r="Y16" s="83" t="n">
        <x:f>'Raw_CAD'!AC16</x:f>
        <x:v>0.031735598021228946</x:v>
      </x:c>
      <x:c r="Z16" s="83" t="n">
        <x:f>W16-Y16</x:f>
        <x:v>-1.5959455978986625e-16</x:v>
      </x:c>
      <x:c r="AA16" s="83" t="n">
        <x:f>AC16*L16</x:f>
        <x:v>0.09032612513498343</x:v>
      </x:c>
      <x:c r="AB16" s="83" t="n">
        <x:f>AC16*M16</x:f>
        <x:v>-0.13006857713949493</x:v>
      </x:c>
      <x:c r="AC16" s="83" t="n">
        <x:f>'Raw_CAD'!N16</x:f>
        <x:v>1.6409073231960012</x:v>
      </x:c>
      <x:c r="AD16" s="83" t="n">
        <x:f>'Raw_CAD'!M16</x:f>
        <x:v>1.6638783588759523e-15</x:v>
      </x:c>
      <x:c r="AE16" s="83" t="n">
        <x:f>'Raw_CAD'!F16</x:f>
        <x:v>-1.855879339096589e-11</x:v>
      </x:c>
      <x:c r="AF16" s="86" t="b">
        <x:f>AND('Raw_CAD'!E16=1,ABS(AE16)&lt;0.000002)</x:f>
        <x:v>1</x:v>
      </x:c>
    </x:row>
    <x:row r="17">
      <x:c r="A17" s="82" t="str">
        <x:f>'Raw_CAD'!A17</x:f>
        <x:v>lookup_25cm</x:v>
      </x:c>
      <x:c r="B17" s="83" t="n">
        <x:f>'Raw_CAD'!B17</x:f>
        <x:v>0.25</x:v>
      </x:c>
      <x:c r="C17" s="83" t="n">
        <x:f>SQRT(('Raw_CAD'!H17-'Raw_CAD'!K17)^2+('Raw_CAD'!I17-'Raw_CAD'!L17)^2)</x:f>
        <x:v>0.249999999973743</x:v>
      </x:c>
      <x:c r="D17" s="84" t="n">
        <x:f>IF(ABS('Raw_CAD'!I17-'Raw_CAD'!L17)&lt;0.000000000001,IF('Raw_CAD'!H17-'Raw_CAD'!K17&gt;=0,90,-90),DEGREES(ATAN(('Raw_CAD'!H17-'Raw_CAD'!K17)/('Raw_CAD'!I17-'Raw_CAD'!L17)))+IF('Raw_CAD'!I17-'Raw_CAD'!L17&lt;0,IF('Raw_CAD'!H17-'Raw_CAD'!K17&gt;=0,180,-180),0))</x:f>
        <x:v>-101.19657230283089</x:v>
      </x:c>
      <x:c r="E17" s="83" t="n">
        <x:f>('Raw_CAD'!H17-'Raw_CAD'!K17)/C17</x:f>
        <x:v>-0.9809667735864063</x:v>
      </x:c>
      <x:c r="F17" s="83" t="n">
        <x:f>('Raw_CAD'!I17-'Raw_CAD'!L17)/C17</x:f>
        <x:v>-0.19417566562130337</x:v>
      </x:c>
      <x:c r="G17" s="83" t="n">
        <x:f>-F17</x:f>
        <x:v>0.19417566562130337</x:v>
      </x:c>
      <x:c r="H17" s="83" t="n">
        <x:f>E17</x:f>
        <x:v>-0.9809667735864063</x:v>
      </x:c>
      <x:c r="I17" s="83" t="n">
        <x:f>'Raw_CAD'!Q17-'Raw_CAD'!J17</x:f>
        <x:v>-0.013257213190796549</x:v>
      </x:c>
      <x:c r="J17" s="83" t="n">
        <x:f>'Raw_CAD'!R17-'Raw_CAD'!K17</x:f>
        <x:v>-0.07260128002987987</x:v>
      </x:c>
      <x:c r="K17" s="83" t="n">
        <x:f>'Raw_CAD'!S17-'Raw_CAD'!L17</x:f>
        <x:v>0.06515711071261333</x:v>
      </x:c>
      <x:c r="L17" s="83" t="n">
        <x:f>J17*E17+K17*F17</x:f>
        <x:v>0.05856751808657179</x:v>
      </x:c>
      <x:c r="M17" s="83" t="n">
        <x:f>J17*G17+K17*H17</x:f>
        <x:v>-0.07801436254672514</x:v>
      </x:c>
      <x:c r="N17" s="83" t="n">
        <x:f>SQRT(L17^2+M17^2)</x:f>
        <x:v>0.09755201145231596</x:v>
      </x:c>
      <x:c r="O17" s="83" t="n">
        <x:f>SQRT(I17^2+N17^2)</x:f>
        <x:v>0.09844871070755074</x:v>
      </x:c>
      <x:c r="P17" s="83" t="n">
        <x:f>C17-L17</x:f>
        <x:v>0.1914324818871712</x:v>
      </x:c>
      <x:c r="Q17" s="83" t="n">
        <x:f>SQRT(P17^2+M17^2)</x:f>
        <x:v>0.20671873617322162</x:v>
      </x:c>
      <x:c r="R17" s="83" t="n">
        <x:f>SQRT(I17^2+Q17^2)</x:f>
        <x:v>0.20714340343501222</x:v>
      </x:c>
      <x:c r="S17" s="83" t="n">
        <x:f>P17/C17</x:f>
        <x:v>0.765729927629108</x:v>
      </x:c>
      <x:c r="T17" s="83" t="n">
        <x:f>Q17/C17</x:f>
        <x:v>0.8268749447797314</x:v>
      </x:c>
      <x:c r="U17" s="85" t="n">
        <x:f>IF(ABS(L17)&lt;0.000000000001,IF(M17&gt;=0,90,-90),DEGREES(ATAN(M17/L17))+IF(L17&lt;0,IF(M17&gt;=0,180,-180),0))</x:f>
        <x:v>-53.10343910867286</x:v>
      </x:c>
      <x:c r="V17" s="83" t="n">
        <x:f>'Raw_CAD'!T17</x:f>
        <x:v>0.016630255049486176</x:v>
      </x:c>
      <x:c r="W17" s="83" t="n">
        <x:f>V17+AC17*(J17^2+K17^2)</x:f>
        <x:v>0.03224577719432026</x:v>
      </x:c>
      <x:c r="X17" s="83" t="n">
        <x:f>V17+AC17*(('Raw_CAD'!R17-'Raw_CAD'!H17)^2+('Raw_CAD'!S17-'Raw_CAD'!I17)^2)</x:f>
        <x:v>0.08675055021273954</x:v>
      </x:c>
      <x:c r="Y17" s="83" t="n">
        <x:f>'Raw_CAD'!AC17</x:f>
        <x:v>0.03224577719432042</x:v>
      </x:c>
      <x:c r="Z17" s="83" t="n">
        <x:f>W17-Y17</x:f>
        <x:v>-1.5959455978986625e-16</x:v>
      </x:c>
      <x:c r="AA17" s="83" t="n">
        <x:f>AC17*L17</x:f>
        <x:v>0.09610386932966992</x:v>
      </x:c>
      <x:c r="AB17" s="83" t="n">
        <x:f>AC17*M17</x:f>
        <x:v>-0.12801433881738916</x:v>
      </x:c>
      <x:c r="AC17" s="83" t="n">
        <x:f>'Raw_CAD'!N17</x:f>
        <x:v>1.6409073231960016</x:v>
      </x:c>
      <x:c r="AD17" s="83" t="n">
        <x:f>'Raw_CAD'!M17</x:f>
        <x:v>1.64134636490861e-15</x:v>
      </x:c>
      <x:c r="AE17" s="83" t="n">
        <x:f>'Raw_CAD'!F17</x:f>
        <x:v>-2.6256996576989877e-11</x:v>
      </x:c>
      <x:c r="AF17" s="86" t="b">
        <x:f>AND('Raw_CAD'!E17=1,ABS(AE17)&lt;0.000002)</x:f>
        <x:v>1</x:v>
      </x:c>
    </x:row>
    <x:row r="18">
      <x:c r="A18" s="82" t="str">
        <x:f>'Raw_CAD'!A18</x:f>
        <x:v>lookup_26cm</x:v>
      </x:c>
      <x:c r="B18" s="83" t="n">
        <x:f>'Raw_CAD'!B18</x:f>
        <x:v>0.26</x:v>
      </x:c>
      <x:c r="C18" s="83" t="n">
        <x:f>SQRT(('Raw_CAD'!H18-'Raw_CAD'!K18)^2+('Raw_CAD'!I18-'Raw_CAD'!L18)^2)</x:f>
        <x:v>0.25999999996326434</x:v>
      </x:c>
      <x:c r="D18" s="84" t="n">
        <x:f>IF(ABS('Raw_CAD'!I18-'Raw_CAD'!L18)&lt;0.000000000001,IF('Raw_CAD'!H18-'Raw_CAD'!K18&gt;=0,90,-90),DEGREES(ATAN(('Raw_CAD'!H18-'Raw_CAD'!K18)/('Raw_CAD'!I18-'Raw_CAD'!L18)))+IF('Raw_CAD'!I18-'Raw_CAD'!L18&lt;0,IF('Raw_CAD'!H18-'Raw_CAD'!K18&gt;=0,180,-180),0))</x:f>
        <x:v>-102.25936149514528</x:v>
      </x:c>
      <x:c r="E18" s="83" t="n">
        <x:f>('Raw_CAD'!H18-'Raw_CAD'!K18)/C18</x:f>
        <x:v>-0.9771964259395254</x:v>
      </x:c>
      <x:c r="F18" s="83" t="n">
        <x:f>('Raw_CAD'!I18-'Raw_CAD'!L18)/C18</x:f>
        <x:v>-0.21233733805202015</x:v>
      </x:c>
      <x:c r="G18" s="83" t="n">
        <x:f>-F18</x:f>
        <x:v>0.21233733805202015</x:v>
      </x:c>
      <x:c r="H18" s="83" t="n">
        <x:f>E18</x:f>
        <x:v>-0.9771964259395254</x:v>
      </x:c>
      <x:c r="I18" s="83" t="n">
        <x:f>'Raw_CAD'!Q18-'Raw_CAD'!J18</x:f>
        <x:v>-0.013257213190796584</x:v>
      </x:c>
      <x:c r="J18" s="83" t="n">
        <x:f>'Raw_CAD'!R18-'Raw_CAD'!K18</x:f>
        <x:v>-0.07690023564397613</x:v>
      </x:c>
      <x:c r="K18" s="83" t="n">
        <x:f>'Raw_CAD'!S18-'Raw_CAD'!L18</x:f>
        <x:v>0.061761470985885775</x:v>
      </x:c>
      <x:c r="L18" s="83" t="n">
        <x:f>J18*E18+K18*F18</x:f>
        <x:v>0.062032369081880714</x:v>
      </x:c>
      <x:c r="M18" s="83" t="n">
        <x:f>J18*G18+K18*H18</x:f>
        <x:v>-0.07668188004039024</x:v>
      </x:c>
      <x:c r="N18" s="83" t="n">
        <x:f>SQRT(L18^2+M18^2)</x:f>
        <x:v>0.09863126046259102</x:v>
      </x:c>
      <x:c r="O18" s="83" t="n">
        <x:f>SQRT(I18^2+N18^2)</x:f>
        <x:v>0.09951823572605023</x:v>
      </x:c>
      <x:c r="P18" s="83" t="n">
        <x:f>C18-L18</x:f>
        <x:v>0.19796763088138364</x:v>
      </x:c>
      <x:c r="Q18" s="83" t="n">
        <x:f>SQRT(P18^2+M18^2)</x:f>
        <x:v>0.2123000084863789</x:v>
      </x:c>
      <x:c r="R18" s="83" t="n">
        <x:f>SQRT(I18^2+Q18^2)</x:f>
        <x:v>0.21271353343147395</x:v>
      </x:c>
      <x:c r="S18" s="83" t="n">
        <x:f>P18/C18</x:f>
        <x:v>0.7614139650359796</x:v>
      </x:c>
      <x:c r="T18" s="83" t="n">
        <x:f>Q18/C18</x:f>
        <x:v>0.8165384942937499</x:v>
      </x:c>
      <x:c r="U18" s="85" t="n">
        <x:f>IF(ABS(L18)&lt;0.000000000001,IF(M18&gt;=0,90,-90),DEGREES(ATAN(M18/L18))+IF(L18&lt;0,IF(M18&gt;=0,180,-180),0))</x:f>
        <x:v>-51.02861884063925</x:v>
      </x:c>
      <x:c r="V18" s="83" t="n">
        <x:f>'Raw_CAD'!T18</x:f>
        <x:v>0.016814236825113023</x:v>
      </x:c>
      <x:c r="W18" s="83" t="n">
        <x:f>V18+AC18*(J18^2+K18^2)</x:f>
        <x:v>0.03277718926539021</x:v>
      </x:c>
      <x:c r="X18" s="83" t="n">
        <x:f>V18+AC18*(('Raw_CAD'!R18-'Raw_CAD'!H18)^2+('Raw_CAD'!S18-'Raw_CAD'!I18)^2)</x:f>
        <x:v>0.0907720525647123</x:v>
      </x:c>
      <x:c r="Y18" s="83" t="n">
        <x:f>'Raw_CAD'!AC18</x:f>
        <x:v>0.03277718926539037</x:v>
      </x:c>
      <x:c r="Z18" s="83" t="n">
        <x:f>W18-Y18</x:f>
        <x:v>-1.5959455978986625e-16</x:v>
      </x:c>
      <x:c r="AA18" s="83" t="n">
        <x:f>AC18*L18</x:f>
        <x:v>0.1017893687016553</x:v>
      </x:c>
      <x:c r="AB18" s="83" t="n">
        <x:f>AC18*M18</x:f>
        <x:v>-0.12582785851471365</x:v>
      </x:c>
      <x:c r="AC18" s="83" t="n">
        <x:f>'Raw_CAD'!N18</x:f>
        <x:v>1.6409073231960016</x:v>
      </x:c>
      <x:c r="AD18" s="83" t="n">
        <x:f>'Raw_CAD'!M18</x:f>
        <x:v>1.616182383377794e-15</x:v>
      </x:c>
      <x:c r="AE18" s="83" t="n">
        <x:f>'Raw_CAD'!F18</x:f>
        <x:v>-3.6735670061460723e-11</x:v>
      </x:c>
      <x:c r="AF18" s="86" t="b">
        <x:f>AND('Raw_CAD'!E18=1,ABS(AE18)&lt;0.000002)</x:f>
        <x:v>1</x:v>
      </x:c>
    </x:row>
    <x:row r="19">
      <x:c r="A19" s="82" t="str">
        <x:f>'Raw_CAD'!A19</x:f>
        <x:v>lookup_27cm</x:v>
      </x:c>
      <x:c r="B19" s="83" t="n">
        <x:f>'Raw_CAD'!B19</x:f>
        <x:v>0.27</x:v>
      </x:c>
      <x:c r="C19" s="83" t="n">
        <x:f>SQRT(('Raw_CAD'!H19-'Raw_CAD'!K19)^2+('Raw_CAD'!I19-'Raw_CAD'!L19)^2)</x:f>
        <x:v>0.2699999999489485</x:v>
      </x:c>
      <x:c r="D19" s="84" t="n">
        <x:f>IF(ABS('Raw_CAD'!I19-'Raw_CAD'!L19)&lt;0.000000000001,IF('Raw_CAD'!H19-'Raw_CAD'!K19&gt;=0,90,-90),DEGREES(ATAN(('Raw_CAD'!H19-'Raw_CAD'!K19)/('Raw_CAD'!I19-'Raw_CAD'!L19)))+IF('Raw_CAD'!I19-'Raw_CAD'!L19&lt;0,IF('Raw_CAD'!H19-'Raw_CAD'!K19&gt;=0,180,-180),0))</x:f>
        <x:v>-103.37051358224186</x:v>
      </x:c>
      <x:c r="E19" s="83" t="n">
        <x:f>('Raw_CAD'!H19-'Raw_CAD'!K19)/C19</x:f>
        <x:v>-0.9728950149842287</x:v>
      </x:c>
      <x:c r="F19" s="83" t="n">
        <x:f>('Raw_CAD'!I19-'Raw_CAD'!L19)/C19</x:f>
        <x:v>-0.23124724824057377</x:v>
      </x:c>
      <x:c r="G19" s="83" t="n">
        <x:f>-F19</x:f>
        <x:v>0.23124724824057377</x:v>
      </x:c>
      <x:c r="H19" s="83" t="n">
        <x:f>E19</x:f>
        <x:v>-0.9728950149842287</x:v>
      </x:c>
      <x:c r="I19" s="83" t="n">
        <x:f>'Raw_CAD'!Q19-'Raw_CAD'!J19</x:f>
        <x:v>-0.01325721319079659</x:v>
      </x:c>
      <x:c r="J19" s="83" t="n">
        <x:f>'Raw_CAD'!R19-'Raw_CAD'!K19</x:f>
        <x:v>-0.08107806444531089</x:v>
      </x:c>
      <x:c r="K19" s="83" t="n">
        <x:f>'Raw_CAD'!S19-'Raw_CAD'!L19</x:f>
        <x:v>0.05809250153461914</x:v>
      </x:c>
      <x:c r="L19" s="83" t="n">
        <x:f>J19*E19+K19*F19</x:f>
        <x:v>0.06544671360012103</x:v>
      </x:c>
      <x:c r="M19" s="83" t="n">
        <x:f>J19*G19+K19*H19</x:f>
        <x:v>-0.07526698444664466</x:v>
      </x:c>
      <x:c r="N19" s="83" t="n">
        <x:f>SQRT(L19^2+M19^2)</x:f>
        <x:v>0.09974162254920318</x:v>
      </x:c>
      <x:c r="O19" s="83" t="n">
        <x:f>SQRT(I19^2+N19^2)</x:f>
        <x:v>0.10061881022122031</x:v>
      </x:c>
      <x:c r="P19" s="83" t="n">
        <x:f>C19-L19</x:f>
        <x:v>0.2045532863488275</x:v>
      </x:c>
      <x:c r="Q19" s="83" t="n">
        <x:f>SQRT(P19^2+M19^2)</x:f>
        <x:v>0.21796138626783615</x:v>
      </x:c>
      <x:c r="R19" s="83" t="n">
        <x:f>SQRT(I19^2+Q19^2)</x:f>
        <x:v>0.21836419030001944</x:v>
      </x:c>
      <x:c r="S19" s="83" t="n">
        <x:f>P19/C19</x:f>
        <x:v>0.7576047643981643</x:v>
      </x:c>
      <x:c r="T19" s="83" t="n">
        <x:f>Q19/C19</x:f>
        <x:v>0.8072643937372155</x:v>
      </x:c>
      <x:c r="U19" s="85" t="n">
        <x:f>IF(ABS(L19)&lt;0.000000000001,IF(M19&gt;=0,90,-90),DEGREES(ATAN(M19/L19))+IF(L19&lt;0,IF(M19&gt;=0,180,-180),0))</x:f>
        <x:v>-48.99214334665165</x:v>
      </x:c>
      <x:c r="V19" s="83" t="n">
        <x:f>'Raw_CAD'!T19</x:f>
        <x:v>0.017005480676546943</x:v>
      </x:c>
      <x:c r="W19" s="83" t="n">
        <x:f>V19+AC19*(J19^2+K19^2)</x:f>
        <x:v>0.03332986876345423</x:v>
      </x:c>
      <x:c r="X19" s="83" t="n">
        <x:f>V19+AC19*(('Raw_CAD'!R19-'Raw_CAD'!H19)^2+('Raw_CAD'!S19-'Raw_CAD'!I19)^2)</x:f>
        <x:v>0.09496033711237463</x:v>
      </x:c>
      <x:c r="Y19" s="83" t="n">
        <x:f>'Raw_CAD'!AC19</x:f>
        <x:v>0.033329868763454396</x:v>
      </x:c>
      <x:c r="Z19" s="83" t="n">
        <x:f>W19-Y19</x:f>
        <x:v>-1.6653345369377348e-16</x:v>
      </x:c>
      <x:c r="AA19" s="83" t="n">
        <x:f>AC19*L19</x:f>
        <x:v>0.10739199162554997</x:v>
      </x:c>
      <x:c r="AB19" s="83" t="n">
        <x:f>AC19*M19</x:f>
        <x:v>-0.12350614597337879</x:v>
      </x:c>
      <x:c r="AC19" s="83" t="n">
        <x:f>'Raw_CAD'!N19</x:f>
        <x:v>1.6409073231960019</x:v>
      </x:c>
      <x:c r="AD19" s="83" t="n">
        <x:f>'Raw_CAD'!M19</x:f>
        <x:v>1.6040752638292997e-15</x:v>
      </x:c>
      <x:c r="AE19" s="83" t="n">
        <x:f>'Raw_CAD'!F19</x:f>
        <x:v>-5.1051496363641036e-11</x:v>
      </x:c>
      <x:c r="AF19" s="86" t="b">
        <x:f>AND('Raw_CAD'!E19=1,ABS(AE19)&lt;0.000002)</x:f>
        <x:v>1</x:v>
      </x:c>
    </x:row>
    <x:row r="20">
      <x:c r="A20" s="82" t="str">
        <x:f>'Raw_CAD'!A20</x:f>
        <x:v>lookup_28cm</x:v>
      </x:c>
      <x:c r="B20" s="83" t="n">
        <x:f>'Raw_CAD'!B20</x:f>
        <x:v>0.28</x:v>
      </x:c>
      <x:c r="C20" s="83" t="n">
        <x:f>SQRT(('Raw_CAD'!H20-'Raw_CAD'!K20)^2+('Raw_CAD'!I20-'Raw_CAD'!L20)^2)</x:f>
        <x:v>0.279999999929275</x:v>
      </x:c>
      <x:c r="D20" s="84" t="n">
        <x:f>IF(ABS('Raw_CAD'!I20-'Raw_CAD'!L20)&lt;0.000000000001,IF('Raw_CAD'!H20-'Raw_CAD'!K20&gt;=0,90,-90),DEGREES(ATAN(('Raw_CAD'!H20-'Raw_CAD'!K20)/('Raw_CAD'!I20-'Raw_CAD'!L20)))+IF('Raw_CAD'!I20-'Raw_CAD'!L20&lt;0,IF('Raw_CAD'!H20-'Raw_CAD'!K20&gt;=0,180,-180),0))</x:f>
        <x:v>-104.52957062146496</x:v>
      </x:c>
      <x:c r="E20" s="83" t="n">
        <x:f>('Raw_CAD'!H20-'Raw_CAD'!K20)/C20</x:f>
        <x:v>-0.9680182891454883</x:v>
      </x:c>
      <x:c r="F20" s="83" t="n">
        <x:f>('Raw_CAD'!I20-'Raw_CAD'!L20)/C20</x:f>
        <x:v>-0.2508796362398546</x:v>
      </x:c>
      <x:c r="G20" s="83" t="n">
        <x:f>-F20</x:f>
        <x:v>0.2508796362398546</x:v>
      </x:c>
      <x:c r="H20" s="83" t="n">
        <x:f>E20</x:f>
        <x:v>-0.9680182891454883</x:v>
      </x:c>
      <x:c r="I20" s="83" t="n">
        <x:f>'Raw_CAD'!Q20-'Raw_CAD'!J20</x:f>
        <x:v>-0.013257213190796542</x:v>
      </x:c>
      <x:c r="J20" s="83" t="n">
        <x:f>'Raw_CAD'!R20-'Raw_CAD'!K20</x:f>
        <x:v>-0.08512126708222911</x:v>
      </x:c>
      <x:c r="K20" s="83" t="n">
        <x:f>'Raw_CAD'!S20-'Raw_CAD'!L20</x:f>
        <x:v>0.05414350066369519</x:v>
      </x:c>
      <x:c r="L20" s="83" t="n">
        <x:f>J20*E20+K20*F20</x:f>
        <x:v>0.06881544157957542</x:v>
      </x:c>
      <x:c r="M20" s="83" t="n">
        <x:f>J20*G20+K20*H20</x:f>
        <x:v>-0.07376709140268298</x:v>
      </x:c>
      <x:c r="N20" s="83" t="n">
        <x:f>SQRT(L20^2+M20^2)</x:f>
        <x:v>0.10088185552319973</x:v>
      </x:c>
      <x:c r="O20" s="83" t="n">
        <x:f>SQRT(I20^2+N20^2)</x:f>
        <x:v>0.1017492136352413</x:v>
      </x:c>
      <x:c r="P20" s="83" t="n">
        <x:f>C20-L20</x:f>
        <x:v>0.21118455834969957</x:v>
      </x:c>
      <x:c r="Q20" s="83" t="n">
        <x:f>SQRT(P20^2+M20^2)</x:f>
        <x:v>0.22369734343386702</x:v>
      </x:c>
      <x:c r="R20" s="83" t="n">
        <x:f>SQRT(I20^2+Q20^2)</x:f>
        <x:v>0.2240898372549627</x:v>
      </x:c>
      <x:c r="S20" s="83" t="n">
        <x:f>P20/C20</x:f>
        <x:v>0.7542305657251519</x:v>
      </x:c>
      <x:c r="T20" s="83" t="n">
        <x:f>Q20/C20</x:f>
        <x:v>0.7989190838941806</x:v>
      </x:c>
      <x:c r="U20" s="85" t="n">
        <x:f>IF(ABS(L20)&lt;0.000000000001,IF(M20&gt;=0,90,-90),DEGREES(ATAN(M20/L20))+IF(L20&lt;0,IF(M20&gt;=0,180,-180),0))</x:f>
        <x:v>-46.98898600640444</x:v>
      </x:c>
      <x:c r="V20" s="83" t="n">
        <x:f>'Raw_CAD'!T20</x:f>
        <x:v>0.017204093512527097</x:v>
      </x:c>
      <x:c r="W20" s="83" t="n">
        <x:f>V20+AC20*(J20^2+K20^2)</x:f>
        <x:v>0.03390385146471687</x:v>
      </x:c>
      <x:c r="X20" s="83" t="n">
        <x:f>V20+AC20*(('Raw_CAD'!R20-'Raw_CAD'!H20)^2+('Raw_CAD'!S20-'Raw_CAD'!I20)^2)</x:f>
        <x:v>0.09931591881360664</x:v>
      </x:c>
      <x:c r="Y20" s="83" t="n">
        <x:f>'Raw_CAD'!AC20</x:f>
        <x:v>0.033903851464717034</x:v>
      </x:c>
      <x:c r="Z20" s="83" t="n">
        <x:f>W20-Y20</x:f>
        <x:v>-1.6653345369377348e-16</x:v>
      </x:c>
      <x:c r="AA20" s="83" t="n">
        <x:f>AC20*L20</x:f>
        <x:v>0.11291976203689193</x:v>
      </x:c>
      <x:c r="AB20" s="83" t="n">
        <x:f>AC20*M20</x:f>
        <x:v>-0.1210449604935313</x:v>
      </x:c>
      <x:c r="AC20" s="83" t="n">
        <x:f>'Raw_CAD'!N20</x:f>
        <x:v>1.6409073231960016</x:v>
      </x:c>
      <x:c r="AD20" s="83" t="n">
        <x:f>'Raw_CAD'!M20</x:f>
        <x:v>1.5927539092409249e-15</x:v>
      </x:c>
      <x:c r="AE20" s="83" t="n">
        <x:f>'Raw_CAD'!F20</x:f>
        <x:v>-7.072503693805743e-11</x:v>
      </x:c>
      <x:c r="AF20" s="86" t="b">
        <x:f>AND('Raw_CAD'!E20=1,ABS(AE20)&lt;0.000002)</x:f>
        <x:v>1</x:v>
      </x:c>
    </x:row>
    <x:row r="21">
      <x:c r="A21" s="82" t="str">
        <x:f>'Raw_CAD'!A21</x:f>
        <x:v>lookup_29cm</x:v>
      </x:c>
      <x:c r="B21" s="83" t="n">
        <x:f>'Raw_CAD'!B21</x:f>
        <x:v>0.29</x:v>
      </x:c>
      <x:c r="C21" s="83" t="n">
        <x:f>SQRT(('Raw_CAD'!H21-'Raw_CAD'!K21)^2+('Raw_CAD'!I21-'Raw_CAD'!L21)^2)</x:f>
        <x:v>0.28999999990202235</x:v>
      </x:c>
      <x:c r="D21" s="84" t="n">
        <x:f>IF(ABS('Raw_CAD'!I21-'Raw_CAD'!L21)&lt;0.000000000001,IF('Raw_CAD'!H21-'Raw_CAD'!K21&gt;=0,90,-90),DEGREES(ATAN(('Raw_CAD'!H21-'Raw_CAD'!K21)/('Raw_CAD'!I21-'Raw_CAD'!L21)))+IF('Raw_CAD'!I21-'Raw_CAD'!L21&lt;0,IF('Raw_CAD'!H21-'Raw_CAD'!K21&gt;=0,180,-180),0))</x:f>
        <x:v>-105.73674076622322</x:v>
      </x:c>
      <x:c r="E21" s="83" t="n">
        <x:f>('Raw_CAD'!H21-'Raw_CAD'!K21)/C21</x:f>
        <x:v>-0.962518026693578</x:v>
      </x:c>
      <x:c r="F21" s="83" t="n">
        <x:f>('Raw_CAD'!I21-'Raw_CAD'!L21)/C21</x:f>
        <x:v>-0.2712177138202824</x:v>
      </x:c>
      <x:c r="G21" s="83" t="n">
        <x:f>-F21</x:f>
        <x:v>0.2712177138202824</x:v>
      </x:c>
      <x:c r="H21" s="83" t="n">
        <x:f>E21</x:f>
        <x:v>-0.962518026693578</x:v>
      </x:c>
      <x:c r="I21" s="83" t="n">
        <x:f>'Raw_CAD'!Q21-'Raw_CAD'!J21</x:f>
        <x:v>-0.01325721319079659</x:v>
      </x:c>
      <x:c r="J21" s="83" t="n">
        <x:f>'Raw_CAD'!R21-'Raw_CAD'!K21</x:f>
        <x:v>-0.0890148853375066</x:v>
      </x:c>
      <x:c r="K21" s="83" t="n">
        <x:f>'Raw_CAD'!S21-'Raw_CAD'!L21</x:f>
        <x:v>0.049907027735417345</x:v>
      </x:c>
      <x:c r="L21" s="83" t="n">
        <x:f>J21*E21+K21*F21</x:f>
        <x:v>0.07214276181544664</x:v>
      </x:c>
      <x:c r="M21" s="83" t="n">
        <x:f>J21*G21+K21*H21</x:f>
        <x:v>-0.07217882755124869</x:v>
      </x:c>
      <x:c r="N21" s="83" t="n">
        <x:f>SQRT(L21^2+M21^2)</x:f>
        <x:v>0.10205077769930596</x:v>
      </x:c>
      <x:c r="O21" s="83" t="n">
        <x:f>SQRT(I21^2+N21^2)</x:f>
        <x:v>0.10290828407188311</x:v>
      </x:c>
      <x:c r="P21" s="83" t="n">
        <x:f>C21-L21</x:f>
        <x:v>0.2178572380865757</x:v>
      </x:c>
      <x:c r="Q21" s="83" t="n">
        <x:f>SQRT(P21^2+M21^2)</x:f>
        <x:v>0.2295028525604504</x:v>
      </x:c>
      <x:c r="R21" s="83" t="n">
        <x:f>SQRT(I21^2+Q21^2)</x:f>
        <x:v>0.22988543458638275</x:v>
      </x:c>
      <x:c r="S21" s="83" t="n">
        <x:f>P21/C21</x:f>
        <x:v>0.7512318557247574</x:v>
      </x:c>
      <x:c r="T21" s="83" t="n">
        <x:f>Q21/C21</x:f>
        <x:v>0.7913891470275477</x:v>
      </x:c>
      <x:c r="U21" s="85" t="n">
        <x:f>IF(ABS(L21)&lt;0.000000000001,IF(M21&gt;=0,90,-90),DEGREES(ATAN(M21/L21))+IF(L21&lt;0,IF(M21&gt;=0,180,-180),0))</x:f>
        <x:v>-45.014318123937954</x:v>
      </x:c>
      <x:c r="V21" s="83" t="n">
        <x:f>'Raw_CAD'!T21</x:f>
        <x:v>0.017410172995361694</x:v>
      </x:c>
      <x:c r="W21" s="83" t="n">
        <x:f>V21+AC21*(J21^2+K21^2)</x:f>
        <x:v>0.03449917460249072</x:v>
      </x:c>
      <x:c r="X21" s="83" t="n">
        <x:f>V21+AC21*(('Raw_CAD'!R21-'Raw_CAD'!H21)^2+('Raw_CAD'!S21-'Raw_CAD'!I21)^2)</x:f>
        <x:v>0.10383932042966391</x:v>
      </x:c>
      <x:c r="Y21" s="83" t="n">
        <x:f>'Raw_CAD'!AC21</x:f>
        <x:v>0.034499174602490884</x:v>
      </x:c>
      <x:c r="Z21" s="83" t="n">
        <x:f>W21-Y21</x:f>
        <x:v>-1.6653345369377348e-16</x:v>
      </x:c>
      <x:c r="AA21" s="83" t="n">
        <x:f>AC21*L21</x:f>
        <x:v>0.11837958617855125</x:v>
      </x:c>
      <x:c r="AB21" s="83" t="n">
        <x:f>AC21*M21</x:f>
        <x:v>-0.11843876670854528</x:v>
      </x:c>
      <x:c r="AC21" s="83" t="n">
        <x:f>'Raw_CAD'!N21</x:f>
        <x:v>1.6409073231960014</x:v>
      </x:c>
      <x:c r="AD21" s="83" t="n">
        <x:f>'Raw_CAD'!M21</x:f>
        <x:v>1.5737470268884217e-15</x:v>
      </x:c>
      <x:c r="AE21" s="83" t="n">
        <x:f>'Raw_CAD'!F21</x:f>
        <x:v>-9.797762601237991e-11</x:v>
      </x:c>
      <x:c r="AF21" s="86" t="b">
        <x:f>AND('Raw_CAD'!E21=1,ABS(AE21)&lt;0.000002)</x:f>
        <x:v>1</x:v>
      </x:c>
    </x:row>
    <x:row r="22">
      <x:c r="A22" s="82" t="str">
        <x:f>'Raw_CAD'!A22</x:f>
        <x:v>lookup_30cm</x:v>
      </x:c>
      <x:c r="B22" s="83" t="n">
        <x:f>'Raw_CAD'!B22</x:f>
        <x:v>0.3</x:v>
      </x:c>
      <x:c r="C22" s="83" t="n">
        <x:f>SQRT(('Raw_CAD'!H22-'Raw_CAD'!K22)^2+('Raw_CAD'!I22-'Raw_CAD'!L22)^2)</x:f>
        <x:v>0.29999999986389114</x:v>
      </x:c>
      <x:c r="D22" s="84" t="n">
        <x:f>IF(ABS('Raw_CAD'!I22-'Raw_CAD'!L22)&lt;0.000000000001,IF('Raw_CAD'!H22-'Raw_CAD'!K22&gt;=0,90,-90),DEGREES(ATAN(('Raw_CAD'!H22-'Raw_CAD'!K22)/('Raw_CAD'!I22-'Raw_CAD'!L22)))+IF('Raw_CAD'!I22-'Raw_CAD'!L22&lt;0,IF('Raw_CAD'!H22-'Raw_CAD'!K22&gt;=0,180,-180),0))</x:f>
        <x:v>-106.99289246122997</x:v>
      </x:c>
      <x:c r="E22" s="83" t="n">
        <x:f>('Raw_CAD'!H22-'Raw_CAD'!K22)/C22</x:f>
        <x:v>-0.9563410173012493</x:v>
      </x:c>
      <x:c r="F22" s="83" t="n">
        <x:f>('Raw_CAD'!I22-'Raw_CAD'!L22)/C22</x:f>
        <x:v>-0.29225307291320585</x:v>
      </x:c>
      <x:c r="G22" s="83" t="n">
        <x:f>-F22</x:f>
        <x:v>0.29225307291320585</x:v>
      </x:c>
      <x:c r="H22" s="83" t="n">
        <x:f>E22</x:f>
        <x:v>-0.9563410173012493</x:v>
      </x:c>
      <x:c r="I22" s="83" t="n">
        <x:f>'Raw_CAD'!Q22-'Raw_CAD'!J22</x:f>
        <x:v>-0.013257213190796584</x:v>
      </x:c>
      <x:c r="J22" s="83" t="n">
        <x:f>'Raw_CAD'!R22-'Raw_CAD'!K22</x:f>
        <x:v>-0.09274226150130664</x:v>
      </x:c>
      <x:c r="K22" s="83" t="n">
        <x:f>'Raw_CAD'!S22-'Raw_CAD'!L22</x:f>
        <x:v>0.04537477378825155</x:v>
      </x:c>
      <x:c r="L22" s="83" t="n">
        <x:f>J22*E22+K22*F22</x:f>
        <x:v>0.07543231163861998</x:v>
      </x:c>
      <x:c r="M22" s="83" t="n">
        <x:f>J22*G22+K22*H22</x:f>
        <x:v>-0.07049796823714752</x:v>
      </x:c>
      <x:c r="N22" s="83" t="n">
        <x:f>SQRT(L22^2+M22^2)</x:f>
        <x:v>0.10324726226254981</x:v>
      </x:c>
      <x:c r="O22" s="83" t="n">
        <x:f>SQRT(I22^2+N22^2)</x:f>
        <x:v>0.10409491277818514</x:v>
      </x:c>
      <x:c r="P22" s="83" t="n">
        <x:f>C22-L22</x:f>
        <x:v>0.22456768822527118</x:v>
      </x:c>
      <x:c r="Q22" s="83" t="n">
        <x:f>SQRT(P22^2+M22^2)</x:f>
        <x:v>0.23537334199184168</x:v>
      </x:c>
      <x:c r="R22" s="83" t="n">
        <x:f>SQRT(I22^2+Q22^2)</x:f>
        <x:v>0.23574639726196178</x:v>
      </x:c>
      <x:c r="S22" s="83" t="n">
        <x:f>P22/C22</x:f>
        <x:v>0.7485589610905222</x:v>
      </x:c>
      <x:c r="T22" s="83" t="n">
        <x:f>Q22/C22</x:f>
        <x:v>0.7845778069954322</x:v>
      </x:c>
      <x:c r="U22" s="85" t="n">
        <x:f>IF(ABS(L22)&lt;0.000000000001,IF(M22&gt;=0,90,-90),DEGREES(ATAN(M22/L22))+IF(L22&lt;0,IF(M22&gt;=0,180,-180),0))</x:f>
        <x:v>-43.063394517676414</x:v>
      </x:c>
      <x:c r="V22" s="83" t="n">
        <x:f>'Raw_CAD'!T22</x:f>
        <x:v>0.01762380973505946</x:v>
      </x:c>
      <x:c r="W22" s="83" t="n">
        <x:f>V22+AC22*(J22^2+K22^2)</x:f>
        <x:v>0.03511587714788357</x:v>
      </x:c>
      <x:c r="X22" s="83" t="n">
        <x:f>V22+AC22*(('Raw_CAD'!R22-'Raw_CAD'!H22)^2+('Raw_CAD'!S22-'Raw_CAD'!I22)^2)</x:f>
        <x:v>0.10853107659116419</x:v>
      </x:c>
      <x:c r="Y22" s="83" t="n">
        <x:f>'Raw_CAD'!AC22</x:f>
        <x:v>0.03511587714788374</x:v>
      </x:c>
      <x:c r="Z22" s="83" t="n">
        <x:f>W22-Y22</x:f>
        <x:v>-1.6653345369377348e-16</x:v>
      </x:c>
      <x:c r="AA22" s="83" t="n">
        <x:f>AC22*L22</x:f>
        <x:v>0.12377743257341449</x:v>
      </x:c>
      <x:c r="AB22" s="83" t="n">
        <x:f>AC22*M22</x:f>
        <x:v>-0.11568063235077447</x:v>
      </x:c>
      <x:c r="AC22" s="83" t="n">
        <x:f>'Raw_CAD'!N22</x:f>
        <x:v>1.6409073231960014</x:v>
      </x:c>
      <x:c r="AD22" s="83" t="n">
        <x:f>'Raw_CAD'!M22</x:f>
        <x:v>1.5474559905475697e-15</x:v>
      </x:c>
      <x:c r="AE22" s="83" t="n">
        <x:f>'Raw_CAD'!F22</x:f>
        <x:v>-1.3610884641579446e-10</x:v>
      </x:c>
      <x:c r="AF22" s="86" t="b">
        <x:f>AND('Raw_CAD'!E22=1,ABS(AE22)&lt;0.000002)</x:f>
        <x:v>1</x:v>
      </x:c>
    </x:row>
    <x:row r="23">
      <x:c r="A23" s="82" t="str">
        <x:f>'Raw_CAD'!A23</x:f>
        <x:v>lookup_31cm</x:v>
      </x:c>
      <x:c r="B23" s="83" t="n">
        <x:f>'Raw_CAD'!B23</x:f>
        <x:v>0.31</x:v>
      </x:c>
      <x:c r="C23" s="83" t="n">
        <x:f>SQRT(('Raw_CAD'!H23-'Raw_CAD'!K23)^2+('Raw_CAD'!I23-'Raw_CAD'!L23)^2)</x:f>
        <x:v>0.30999999980988924</x:v>
      </x:c>
      <x:c r="D23" s="84" t="n">
        <x:f>IF(ABS('Raw_CAD'!I23-'Raw_CAD'!L23)&lt;0.000000000001,IF('Raw_CAD'!H23-'Raw_CAD'!K23&gt;=0,90,-90),DEGREES(ATAN(('Raw_CAD'!H23-'Raw_CAD'!K23)/('Raw_CAD'!I23-'Raw_CAD'!L23)))+IF('Raw_CAD'!I23-'Raw_CAD'!L23&lt;0,IF('Raw_CAD'!H23-'Raw_CAD'!K23&gt;=0,180,-180),0))</x:f>
        <x:v>-108.29957709566698</x:v>
      </x:c>
      <x:c r="E23" s="83" t="n">
        <x:f>('Raw_CAD'!H23-'Raw_CAD'!K23)/C23</x:f>
        <x:v>-0.9494277952172904</x:v>
      </x:c>
      <x:c r="F23" s="83" t="n">
        <x:f>('Raw_CAD'!I23-'Raw_CAD'!L23)/C23</x:f>
        <x:v>-0.31398544818006263</x:v>
      </x:c>
      <x:c r="G23" s="83" t="n">
        <x:f>-F23</x:f>
        <x:v>0.31398544818006263</x:v>
      </x:c>
      <x:c r="H23" s="83" t="n">
        <x:f>E23</x:f>
        <x:v>-0.9494277952172904</x:v>
      </x:c>
      <x:c r="I23" s="83" t="n">
        <x:f>'Raw_CAD'!Q23-'Raw_CAD'!J23</x:f>
        <x:v>-0.013257213190796584</x:v>
      </x:c>
      <x:c r="J23" s="83" t="n">
        <x:f>'Raw_CAD'!R23-'Raw_CAD'!K23</x:f>
        <x:v>-0.09628472846517835</x:v>
      </x:c>
      <x:c r="K23" s="83" t="n">
        <x:f>'Raw_CAD'!S23-'Raw_CAD'!L23</x:f>
        <x:v>0.04053739813511025</x:v>
      </x:c>
      <x:c r="L23" s="83" t="n">
        <x:f>J23*E23+K23*F23</x:f>
        <x:v>0.07868724433828353</x:v>
      </x:c>
      <x:c r="M23" s="83" t="n">
        <x:f>J23*G23+K23*H23</x:f>
        <x:v>-0.06871933615529788</x:v>
      </x:c>
      <x:c r="N23" s="83" t="n">
        <x:f>SQRT(L23^2+M23^2)</x:f>
        <x:v>0.10447023300049428</x:v>
      </x:c>
      <x:c r="O23" s="83" t="n">
        <x:f>SQRT(I23^2+N23^2)</x:f>
        <x:v>0.10530803998158828</x:v>
      </x:c>
      <x:c r="P23" s="83" t="n">
        <x:f>C23-L23</x:f>
        <x:v>0.2313127554716057</x:v>
      </x:c>
      <x:c r="Q23" s="83" t="n">
        <x:f>SQRT(P23^2+M23^2)</x:f>
        <x:v>0.24130465806836734</x:v>
      </x:c>
      <x:c r="R23" s="83" t="n">
        <x:f>SQRT(I23^2+Q23^2)</x:f>
        <x:v>0.2416685575474764</x:v>
      </x:c>
      <x:c r="S23" s="83" t="n">
        <x:f>P23/C23</x:f>
        <x:v>0.7461701793982602</x:v>
      </x:c>
      <x:c r="T23" s="83" t="n">
        <x:f>Q23/C23</x:f>
        <x:v>0.7784021232785483</x:v>
      </x:c>
      <x:c r="U23" s="85" t="n">
        <x:f>IF(ABS(L23)&lt;0.000000000001,IF(M23&gt;=0,90,-90),DEGREES(ATAN(M23/L23))+IF(L23&lt;0,IF(M23&gt;=0,180,-180),0))</x:f>
        <x:v>-41.13144185133094</x:v>
      </x:c>
      <x:c r="V23" s="83" t="n">
        <x:f>'Raw_CAD'!T23</x:f>
        <x:v>0.017845089110902733</x:v>
      </x:c>
      <x:c r="W23" s="83" t="n">
        <x:f>V23+AC23*(J23^2+K23^2)</x:f>
        <x:v>0.035754000179516604</x:v>
      </x:c>
      <x:c r="X23" s="83" t="n">
        <x:f>V23+AC23*(('Raw_CAD'!R23-'Raw_CAD'!H23)^2+('Raw_CAD'!S23-'Raw_CAD'!I23)^2)</x:f>
        <x:v>0.11339173899871682</x:v>
      </x:c>
      <x:c r="Y23" s="83" t="n">
        <x:f>'Raw_CAD'!AC23</x:f>
        <x:v>0.035754000179516784</x:v>
      </x:c>
      <x:c r="Z23" s="83" t="n">
        <x:f>W23-Y23</x:f>
        <x:v>-1.8041124150158794e-16</x:v>
      </x:c>
      <x:c r="AA23" s="83" t="n">
        <x:f>AC23*L23</x:f>
        <x:v>0.12911847547680255</x:v>
      </x:c>
      <x:c r="AB23" s="83" t="n">
        <x:f>AC23*M23</x:f>
        <x:v>-0.11276206194239606</x:v>
      </x:c>
      <x:c r="AC23" s="83" t="n">
        <x:f>'Raw_CAD'!N23</x:f>
        <x:v>1.6409073231960016</x:v>
      </x:c>
      <x:c r="AD23" s="83" t="n">
        <x:f>'Raw_CAD'!M23</x:f>
        <x:v>1.5242793677333087e-15</x:v>
      </x:c>
      <x:c r="AE23" s="83" t="n">
        <x:f>'Raw_CAD'!F23</x:f>
        <x:v>-1.9011076046737685e-10</x:v>
      </x:c>
      <x:c r="AF23" s="86" t="b">
        <x:f>AND('Raw_CAD'!E23=1,ABS(AE23)&lt;0.000002)</x:f>
        <x:v>1</x:v>
      </x:c>
    </x:row>
    <x:row r="24">
      <x:c r="A24" s="82" t="str">
        <x:f>'Raw_CAD'!A24</x:f>
        <x:v>lookup_32cm</x:v>
      </x:c>
      <x:c r="B24" s="83" t="n">
        <x:f>'Raw_CAD'!B24</x:f>
        <x:v>0.32</x:v>
      </x:c>
      <x:c r="C24" s="83" t="n">
        <x:f>SQRT(('Raw_CAD'!H24-'Raw_CAD'!K24)^2+('Raw_CAD'!I24-'Raw_CAD'!L24)^2)</x:f>
        <x:v>0.319999999732301</x:v>
      </x:c>
      <x:c r="D24" s="84" t="n">
        <x:f>IF(ABS('Raw_CAD'!I24-'Raw_CAD'!L24)&lt;0.000000000001,IF('Raw_CAD'!H24-'Raw_CAD'!K24&gt;=0,90,-90),DEGREES(ATAN(('Raw_CAD'!H24-'Raw_CAD'!K24)/('Raw_CAD'!I24-'Raw_CAD'!L24)))+IF('Raw_CAD'!I24-'Raw_CAD'!L24&lt;0,IF('Raw_CAD'!H24-'Raw_CAD'!K24&gt;=0,180,-180),0))</x:f>
        <x:v>-109.65908287106069</x:v>
      </x:c>
      <x:c r="E24" s="83" t="n">
        <x:f>('Raw_CAD'!H24-'Raw_CAD'!K24)/C24</x:f>
        <x:v>-0.941711037462248</x:v>
      </x:c>
      <x:c r="F24" s="83" t="n">
        <x:f>('Raw_CAD'!I24-'Raw_CAD'!L24)/C24</x:f>
        <x:v>-0.33642283204588924</x:v>
      </x:c>
      <x:c r="G24" s="83" t="n">
        <x:f>-F24</x:f>
        <x:v>0.33642283204588924</x:v>
      </x:c>
      <x:c r="H24" s="83" t="n">
        <x:f>E24</x:f>
        <x:v>-0.941711037462248</x:v>
      </x:c>
      <x:c r="I24" s="83" t="n">
        <x:f>'Raw_CAD'!Q24-'Raw_CAD'!J24</x:f>
        <x:v>-0.013257213190796584</x:v>
      </x:c>
      <x:c r="J24" s="83" t="n">
        <x:f>'Raw_CAD'!R24-'Raw_CAD'!K24</x:f>
        <x:v>-0.09962120875737106</x:v>
      </x:c>
      <x:c r="K24" s="83" t="n">
        <x:f>'Raw_CAD'!S24-'Raw_CAD'!L24</x:f>
        <x:v>0.03538431936055715</x:v>
      </x:c>
      <x:c r="L24" s="83" t="n">
        <x:f>J24*E24+K24*F24</x:f>
        <x:v>0.08191029892285226</x:v>
      </x:c>
      <x:c r="M24" s="83" t="n">
        <x:f>J24*G24+K24*H24</x:f>
        <x:v>-0.06683665327691529</x:v>
      </x:c>
      <x:c r="N24" s="83" t="n">
        <x:f>SQRT(L24^2+M24^2)</x:f>
        <x:v>0.10571866103432073</x:v>
      </x:c>
      <x:c r="O24" s="83" t="n">
        <x:f>SQRT(I24^2+N24^2)</x:f>
        <x:v>0.10654665171874635</x:v>
      </x:c>
      <x:c r="P24" s="83" t="n">
        <x:f>C24-L24</x:f>
        <x:v>0.23808970080944872</x:v>
      </x:c>
      <x:c r="Q24" s="83" t="n">
        <x:f>SQRT(P24^2+M24^2)</x:f>
        <x:v>0.2472930323579526</x:v>
      </x:c>
      <x:c r="R24" s="83" t="n">
        <x:f>SQRT(I24^2+Q24^2)</x:f>
        <x:v>0.24764813254772916</x:v>
      </x:c>
      <x:c r="S24" s="83" t="n">
        <x:f>P24/C24</x:f>
        <x:v>0.7440303156519529</x:v>
      </x:c>
      <x:c r="T24" s="83" t="n">
        <x:f>Q24/C24</x:f>
        <x:v>0.7727907267650873</x:v>
      </x:c>
      <x:c r="U24" s="85" t="n">
        <x:f>IF(ABS(L24)&lt;0.000000000001,IF(M24&gt;=0,90,-90),DEGREES(ATAN(M24/L24))+IF(L24&lt;0,IF(M24&gt;=0,180,-180),0))</x:f>
        <x:v>-39.213542066575194</x:v>
      </x:c>
      <x:c r="V24" s="83" t="n">
        <x:f>'Raw_CAD'!T24</x:f>
        <x:v>0.01807409285243341</x:v>
      </x:c>
      <x:c r="W24" s="83" t="n">
        <x:f>V24+AC24*(J24^2+K24^2)</x:f>
        <x:v>0.036413587368480396</x:v>
      </x:c>
      <x:c r="X24" s="83" t="n">
        <x:f>V24+AC24*(('Raw_CAD'!R24-'Raw_CAD'!H24)^2+('Raw_CAD'!S24-'Raw_CAD'!I24)^2)</x:f>
        <x:v>0.11842188307206358</x:v>
      </x:c>
      <x:c r="Y24" s="83" t="n">
        <x:f>'Raw_CAD'!AC24</x:f>
        <x:v>0.03641358736848057</x:v>
      </x:c>
      <x:c r="Z24" s="83" t="n">
        <x:f>W24-Y24</x:f>
        <x:v>-1.734723475976807e-16</x:v>
      </x:c>
      <x:c r="AA24" s="83" t="n">
        <x:f>AC24*L24</x:f>
        <x:v>0.13440720934768183</x:v>
      </x:c>
      <x:c r="AB24" s="83" t="n">
        <x:f>AC24*M24</x:f>
        <x:v>-0.10967275382000234</x:v>
      </x:c>
      <x:c r="AC24" s="83" t="n">
        <x:f>'Raw_CAD'!N24</x:f>
        <x:v>1.6409073231960016</x:v>
      </x:c>
      <x:c r="AD24" s="83" t="n">
        <x:f>'Raw_CAD'!M24</x:f>
        <x:v>1.503987496161238e-15</x:v>
      </x:c>
      <x:c r="AE24" s="83" t="n">
        <x:f>'Raw_CAD'!F24</x:f>
        <x:v>-2.676990296102133e-10</x:v>
      </x:c>
      <x:c r="AF24" s="86" t="b">
        <x:f>AND('Raw_CAD'!E24=1,ABS(AE24)&lt;0.000002)</x:f>
        <x:v>1</x:v>
      </x:c>
    </x:row>
    <x:row r="25">
      <x:c r="A25" s="82" t="str">
        <x:f>'Raw_CAD'!A25</x:f>
        <x:v>lookup_33cm</x:v>
      </x:c>
      <x:c r="B25" s="83" t="n">
        <x:f>'Raw_CAD'!B25</x:f>
        <x:v>0.33</x:v>
      </x:c>
      <x:c r="C25" s="83" t="n">
        <x:f>SQRT(('Raw_CAD'!H25-'Raw_CAD'!K25)^2+('Raw_CAD'!I25-'Raw_CAD'!L25)^2)</x:f>
        <x:v>0.32999999961891374</x:v>
      </x:c>
      <x:c r="D25" s="84" t="n">
        <x:f>IF(ABS('Raw_CAD'!I25-'Raw_CAD'!L25)&lt;0.000000000001,IF('Raw_CAD'!H25-'Raw_CAD'!K25&gt;=0,90,-90),DEGREES(ATAN(('Raw_CAD'!H25-'Raw_CAD'!K25)/('Raw_CAD'!I25-'Raw_CAD'!L25)))+IF('Raw_CAD'!I25-'Raw_CAD'!L25&lt;0,IF('Raw_CAD'!H25-'Raw_CAD'!K25&gt;=0,180,-180),0))</x:f>
        <x:v>-111.0745258383811</x:v>
      </x:c>
      <x:c r="E25" s="83" t="n">
        <x:f>('Raw_CAD'!H25-'Raw_CAD'!K25)/C25</x:f>
        <x:v>-0.9331135000676918</x:v>
      </x:c>
      <x:c r="F25" s="83" t="n">
        <x:f>('Raw_CAD'!I25-'Raw_CAD'!L25)/C25</x:f>
        <x:v>-0.35958197395228514</x:v>
      </x:c>
      <x:c r="G25" s="83" t="n">
        <x:f>-F25</x:f>
        <x:v>0.35958197395228514</x:v>
      </x:c>
      <x:c r="H25" s="83" t="n">
        <x:f>E25</x:f>
        <x:v>-0.9331135000676918</x:v>
      </x:c>
      <x:c r="I25" s="83" t="n">
        <x:f>'Raw_CAD'!Q25-'Raw_CAD'!J25</x:f>
        <x:v>-0.013257213190796584</x:v>
      </x:c>
      <x:c r="J25" s="83" t="n">
        <x:f>'Raw_CAD'!R25-'Raw_CAD'!K25</x:f>
        <x:v>-0.10272769069479673</x:v>
      </x:c>
      <x:c r="K25" s="83" t="n">
        <x:f>'Raw_CAD'!S25-'Raw_CAD'!L25</x:f>
        <x:v>0.029903444076049786</x:v>
      </x:c>
      <x:c r="L25" s="83" t="n">
        <x:f>J25*E25+K25*F25</x:f>
        <x:v>0.08510385556925529</x:v>
      </x:c>
      <x:c r="M25" s="83" t="n">
        <x:f>J25*G25+K25*H25</x:f>
        <x:v>-0.06484233316547611</x:v>
      </x:c>
      <x:c r="N25" s="83" t="n">
        <x:f>SQRT(L25^2+M25^2)</x:f>
        <x:v>0.10699156229860028</x:v>
      </x:c>
      <x:c r="O25" s="83" t="n">
        <x:f>SQRT(I25^2+N25^2)</x:f>
        <x:v>0.10780977740762428</x:v>
      </x:c>
      <x:c r="P25" s="83" t="n">
        <x:f>C25-L25</x:f>
        <x:v>0.24489614404965845</x:v>
      </x:c>
      <x:c r="Q25" s="83" t="n">
        <x:f>SQRT(P25^2+M25^2)</x:f>
        <x:v>0.25333505391227185</x:v>
      </x:c>
      <x:c r="R25" s="83" t="n">
        <x:f>SQRT(I25^2+Q25^2)</x:f>
        <x:v>0.25368169670340807</x:v>
      </x:c>
      <x:c r="S25" s="83" t="n">
        <x:f>P25/C25</x:f>
        <x:v>0.7421095282802006</x:v>
      </x:c>
      <x:c r="T25" s="83" t="n">
        <x:f>Q25/C25</x:f>
        <x:v>0.7676819824388633</x:v>
      </x:c>
      <x:c r="U25" s="85" t="n">
        <x:f>IF(ABS(L25)&lt;0.000000000001,IF(M25&gt;=0,90,-90),DEGREES(ATAN(M25/L25))+IF(L25&lt;0,IF(M25&gt;=0,180,-180),0))</x:f>
        <x:v>-37.304502184583406</x:v>
      </x:c>
      <x:c r="V25" s="83" t="n">
        <x:f>'Raw_CAD'!T25</x:f>
        <x:v>0.018310900490541043</x:v>
      </x:c>
      <x:c r="W25" s="83" t="n">
        <x:f>V25+AC25*(J25^2+K25^2)</x:f>
        <x:v>0.03709468561662835</x:v>
      </x:c>
      <x:c r="X25" s="83" t="n">
        <x:f>V25+AC25*(('Raw_CAD'!R25-'Raw_CAD'!H25)^2+('Raw_CAD'!S25-'Raw_CAD'!I25)^2)</x:f>
        <x:v>0.12362211651476064</x:v>
      </x:c>
      <x:c r="Y25" s="83" t="n">
        <x:f>'Raw_CAD'!AC25</x:f>
        <x:v>0.037094685616628514</x:v>
      </x:c>
      <x:c r="Z25" s="83" t="n">
        <x:f>W25-Y25</x:f>
        <x:v>-1.6653345369377348e-16</x:v>
      </x:c>
      <x:c r="AA25" s="83" t="n">
        <x:f>AC25*L25</x:f>
        <x:v>0.1396475398358058</x:v>
      </x:c>
      <x:c r="AB25" s="83" t="n">
        <x:f>AC25*M25</x:f>
        <x:v>-0.1064002593443447</x:v>
      </x:c>
      <x:c r="AC25" s="83" t="n">
        <x:f>'Raw_CAD'!N25</x:f>
        <x:v>1.6409073231960014</x:v>
      </x:c>
      <x:c r="AD25" s="83" t="n">
        <x:f>'Raw_CAD'!M25</x:f>
        <x:v>1.4856410892412036e-15</x:v>
      </x:c>
      <x:c r="AE25" s="83" t="n">
        <x:f>'Raw_CAD'!F25</x:f>
        <x:v>-3.8108627364863423e-10</x:v>
      </x:c>
      <x:c r="AF25" s="86" t="b">
        <x:f>AND('Raw_CAD'!E25=1,ABS(AE25)&lt;0.000002)</x:f>
        <x:v>1</x:v>
      </x:c>
    </x:row>
    <x:row r="26">
      <x:c r="A26" s="82" t="str">
        <x:f>'Raw_CAD'!A26</x:f>
        <x:v>kinematic_max</x:v>
      </x:c>
      <x:c r="B26" s="83" t="n">
        <x:f>'Raw_CAD'!B26</x:f>
        <x:v>0.3363372000058729</x:v>
      </x:c>
      <x:c r="C26" s="83" t="n">
        <x:f>SQRT(('Raw_CAD'!H26-'Raw_CAD'!K26)^2+('Raw_CAD'!I26-'Raw_CAD'!L26)^2)</x:f>
        <x:v>0.3363372000058729</x:v>
      </x:c>
      <x:c r="D26" s="84" t="n">
        <x:f>IF(ABS('Raw_CAD'!I26-'Raw_CAD'!L26)&lt;0.000000000001,IF('Raw_CAD'!H26-'Raw_CAD'!K26&gt;=0,90,-90),DEGREES(ATAN(('Raw_CAD'!H26-'Raw_CAD'!K26)/('Raw_CAD'!I26-'Raw_CAD'!L26)))+IF('Raw_CAD'!I26-'Raw_CAD'!L26&lt;0,IF('Raw_CAD'!H26-'Raw_CAD'!K26&gt;=0,180,-180),0))</x:f>
        <x:v>-112.0022863984281</x:v>
      </x:c>
      <x:c r="E26" s="83" t="n">
        <x:f>('Raw_CAD'!H26-'Raw_CAD'!K26)/C26</x:f>
        <x:v>-0.927168905084799</x:v>
      </x:c>
      <x:c r="F26" s="83" t="n">
        <x:f>('Raw_CAD'!I26-'Raw_CAD'!L26)/C26</x:f>
        <x:v>-0.37464359255678586</x:v>
      </x:c>
      <x:c r="G26" s="83" t="n">
        <x:f>-F26</x:f>
        <x:v>0.37464359255678586</x:v>
      </x:c>
      <x:c r="H26" s="83" t="n">
        <x:f>E26</x:f>
        <x:v>-0.927168905084799</x:v>
      </x:c>
      <x:c r="I26" s="83" t="n">
        <x:f>'Raw_CAD'!Q26-'Raw_CAD'!J26</x:f>
        <x:v>-0.013257213190796611</x:v>
      </x:c>
      <x:c r="J26" s="83" t="n">
        <x:f>'Raw_CAD'!R26-'Raw_CAD'!K26</x:f>
        <x:v>-0.10456488555308052</x:v>
      </x:c>
      <x:c r="K26" s="83" t="n">
        <x:f>'Raw_CAD'!S26-'Raw_CAD'!L26</x:f>
        <x:v>0.026254161766723867</x:v>
      </x:c>
      <x:c r="L26" s="83" t="n">
        <x:f>J26*E26+K26*F26</x:f>
        <x:v>0.08711335696471455</x:v>
      </x:c>
      <x:c r="M26" s="83" t="n">
        <x:f>J26*G26+K26*H26</x:f>
        <x:v>-0.06351660679806781</x:v>
      </x:c>
      <x:c r="N26" s="83" t="n">
        <x:f>SQRT(L26^2+M26^2)</x:f>
        <x:v>0.10781046470914656</x:v>
      </x:c>
      <x:c r="O26" s="83" t="n">
        <x:f>SQRT(I26^2+N26^2)</x:f>
        <x:v>0.10862251148996863</x:v>
      </x:c>
      <x:c r="P26" s="83" t="n">
        <x:f>C26-L26</x:f>
        <x:v>0.24922384304115835</x:v>
      </x:c>
      <x:c r="Q26" s="83" t="n">
        <x:f>SQRT(P26^2+M26^2)</x:f>
        <x:v>0.2571903638928649</x:v>
      </x:c>
      <x:c r="R26" s="83" t="n">
        <x:f>SQRT(I26^2+Q26^2)</x:f>
        <x:v>0.25753181741472353</x:v>
      </x:c>
      <x:c r="S26" s="83" t="n">
        <x:f>P26/C26</x:f>
        <x:v>0.7409939876909439</x:v>
      </x:c>
      <x:c r="T26" s="83" t="n">
        <x:f>Q26/C26</x:f>
        <x:v>0.7646801004717112</x:v>
      </x:c>
      <x:c r="U26" s="85" t="n">
        <x:f>IF(ABS(L26)&lt;0.000000000001,IF(M26&gt;=0,90,-90),DEGREES(ATAN(M26/L26))+IF(L26&lt;0,IF(M26&gt;=0,180,-180),0))</x:f>
        <x:v>-36.096759835295195</x:v>
      </x:c>
      <x:c r="V26" s="83" t="n">
        <x:f>'Raw_CAD'!T26</x:f>
        <x:v>0.018465045787374384</x:v>
      </x:c>
      <x:c r="W26" s="83" t="n">
        <x:f>V26+AC26*(J26^2+K26^2)</x:f>
        <x:v>0.03753746962557296</x:v>
      </x:c>
      <x:c r="X26" s="83" t="n">
        <x:f>V26+AC26*(('Raw_CAD'!R26-'Raw_CAD'!H26)^2+('Raw_CAD'!S26-'Raw_CAD'!I26)^2)</x:f>
        <x:v>0.1270059509670416</x:v>
      </x:c>
      <x:c r="Y26" s="83" t="n">
        <x:f>'Raw_CAD'!AC26</x:f>
        <x:v>0.03753746962557314</x:v>
      </x:c>
      <x:c r="Z26" s="83" t="n">
        <x:f>W26-Y26</x:f>
        <x:v>-1.8041124150158794e-16</x:v>
      </x:c>
      <x:c r="AA26" s="83" t="n">
        <x:f>AC26*L26</x:f>
        <x:v>0.1429449453915875</x:v>
      </x:c>
      <x:c r="AB26" s="83" t="n">
        <x:f>AC26*M26</x:f>
        <x:v>-0.1042248652395104</x:v>
      </x:c>
      <x:c r="AC26" s="83" t="n">
        <x:f>'Raw_CAD'!N26</x:f>
        <x:v>1.6409073231960014</x:v>
      </x:c>
      <x:c r="AD26" s="83" t="n">
        <x:f>'Raw_CAD'!M26</x:f>
        <x:v>1.4659553343807198e-15</x:v>
      </x:c>
      <x:c r="AE26" s="83" t="n">
        <x:f>'Raw_CAD'!F26</x:f>
        <x:v>0</x:v>
      </x:c>
      <x:c r="AF26" s="86" t="b">
        <x:f>AND('Raw_CAD'!E26=1,ABS(AE26)&lt;0.000002)</x:f>
        <x:v>1</x:v>
      </x:c>
    </x:row>
  </x:sheetData>
  <x:conditionalFormatting sqref="AF2:AF26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dd8fd646b741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30" t="str">
        <x:v>l0_m</x:v>
      </x:c>
      <x:c r="B1" s="30" t="str">
        <x:v>mass_kg</x:v>
      </x:c>
      <x:c r="C1" s="30" t="str">
        <x:v>com_parallel_upper_m</x:v>
      </x:c>
      <x:c r="D1" s="30" t="str">
        <x:v>com_normal_m</x:v>
      </x:c>
      <x:c r="E1" s="30" t="str">
        <x:v>rho_upper_yz_m</x:v>
      </x:c>
      <x:c r="F1" s="30" t="str">
        <x:v>l_w_parallel_m</x:v>
      </x:c>
      <x:c r="G1" s="30" t="str">
        <x:v>rho_wheel_yz_m</x:v>
      </x:c>
      <x:c r="H1" s="30" t="str">
        <x:v>eta_axial</x:v>
      </x:c>
      <x:c r="I1" s="30" t="str">
        <x:v>eta_radial</x:v>
      </x:c>
      <x:c r="J1" s="30" t="str">
        <x:v>I_pitch_com_kg_m2</x:v>
      </x:c>
      <x:c r="K1" s="30" t="str">
        <x:v>I_pitch_upper_kg_m2</x:v>
      </x:c>
      <x:c r="L1" s="30" t="str">
        <x:v>I_pitch_wheel_kg_m2</x:v>
      </x:c>
      <x:c r="M1" s="30" t="str">
        <x:v>virtual_leg_angle_deg</x:v>
      </x:c>
      <x:c r="N1" s="30" t="str">
        <x:v>eccentric_angle_deg</x:v>
      </x:c>
      <x:c r="O1" s="30" t="str">
        <x:v>length_driver_angle_deg</x:v>
      </x:c>
      <x:c r="P1" s="30" t="str">
        <x:v>point2_drift_m</x:v>
      </x:c>
      <x:c r="Q1" s="30" t="str">
        <x:v>length_residual_m</x:v>
      </x:c>
      <x:c r="R1" s="30" t="str">
        <x:v>valid</x:v>
      </x:c>
    </x:row>
    <x:row r="2">
      <x:c r="A2" s="92" t="n">
        <x:f>'Derived'!C3</x:f>
        <x:v>0.1099999984331883</x:v>
      </x:c>
      <x:c r="B2" s="92" t="n">
        <x:f>'Derived'!AC3</x:f>
        <x:v>1.6409073231960014</x:v>
      </x:c>
      <x:c r="C2" s="92" t="n">
        <x:f>'Derived'!L3</x:f>
        <x:v>-0.0022234784221506886</x:v>
      </x:c>
      <x:c r="D2" s="92" t="n">
        <x:f>'Derived'!M3</x:f>
        <x:v>-0.08671809053254188</x:v>
      </x:c>
      <x:c r="E2" s="92" t="n">
        <x:f>'Derived'!N3</x:f>
        <x:v>0.08674659118319232</x:v>
      </x:c>
      <x:c r="F2" s="92" t="n">
        <x:f>'Derived'!P3</x:f>
        <x:v>0.112223476855339</x:v>
      </x:c>
      <x:c r="G2" s="92" t="n">
        <x:f>'Derived'!Q3</x:f>
        <x:v>0.14182431379390115</x:v>
      </x:c>
      <x:c r="H2" s="92" t="n">
        <x:f>'Derived'!S3</x:f>
        <x:v>1.0202134404892849</x:v>
      </x:c>
      <x:c r="I2" s="92" t="n">
        <x:f>'Derived'!T3</x:f>
        <x:v>1.2893119619455473</x:v>
      </x:c>
      <x:c r="J2" s="92" t="n">
        <x:f>'Derived'!V3</x:f>
        <x:v>0.014673833551578483</x:v>
      </x:c>
      <x:c r="K2" s="92" t="n">
        <x:f>'Derived'!W3</x:f>
        <x:v>0.02702161370671273</x:v>
      </x:c>
      <x:c r="L2" s="92" t="n">
        <x:f>'Derived'!X3</x:f>
        <x:v>0.04767926658602542</x:v>
      </x:c>
      <x:c r="M2" s="93" t="n">
        <x:f>'Derived'!D3</x:f>
        <x:v>-94.5291922386778</x:v>
      </x:c>
      <x:c r="N2" s="93" t="n">
        <x:f>'Derived'!U3</x:f>
        <x:v>-91.46875953890107</x:v>
      </x:c>
      <x:c r="O2" s="93" t="n">
        <x:f>'Raw_CAD'!C3</x:f>
        <x:v>25.469777926576217</x:v>
      </x:c>
      <x:c r="P2" s="92" t="n">
        <x:f>'Derived'!AD3</x:f>
        <x:v>1.7544230311589373e-15</x:v>
      </x:c>
      <x:c r="Q2" s="92" t="n">
        <x:f>'Derived'!AE3</x:f>
        <x:v>-1.5668116942757493e-9</x:v>
      </x:c>
      <x:c r="R2" s="94" t="b">
        <x:f>'Derived'!AF3</x:f>
        <x:v>1</x:v>
      </x:c>
    </x:row>
    <x:row r="3">
      <x:c r="A3" s="92" t="n">
        <x:f>'Derived'!C4</x:f>
        <x:v>0.11999992262371745</x:v>
      </x:c>
      <x:c r="B3" s="92" t="n">
        <x:f>'Derived'!AC4</x:f>
        <x:v>1.6409073231960016</x:v>
      </x:c>
      <x:c r="C3" s="92" t="n">
        <x:f>'Derived'!L4</x:f>
        <x:v>0.0037311769126700456</x:v>
      </x:c>
      <x:c r="D3" s="92" t="n">
        <x:f>'Derived'!M4</x:f>
        <x:v>-0.08707361260080898</x:v>
      </x:c>
      <x:c r="E3" s="92" t="n">
        <x:f>'Derived'!N4</x:f>
        <x:v>0.08715351795830965</x:v>
      </x:c>
      <x:c r="F3" s="92" t="n">
        <x:f>'Derived'!P4</x:f>
        <x:v>0.11626874571104741</x:v>
      </x:c>
      <x:c r="G3" s="92" t="n">
        <x:f>'Derived'!Q4</x:f>
        <x:v>0.14525920019253846</x:v>
      </x:c>
      <x:c r="H3" s="92" t="n">
        <x:f>'Derived'!S4</x:f>
        <x:v>0.9689068390121396</x:v>
      </x:c>
      <x:c r="I3" s="92" t="n">
        <x:f>'Derived'!T4</x:f>
        <x:v>1.2104941154672764</x:v>
      </x:c>
      <x:c r="J3" s="92" t="n">
        <x:f>'Derived'!V4</x:f>
        <x:v>0.014794529639208456</x:v>
      </x:c>
      <x:c r="K3" s="92" t="n">
        <x:f>'Derived'!W4</x:f>
        <x:v>0.027258427962108388</x:v>
      </x:c>
      <x:c r="L3" s="92" t="n">
        <x:f>'Derived'!X4</x:f>
        <x:v>0.049418060166627906</x:v>
      </x:c>
      <x:c r="M3" s="93" t="n">
        <x:f>'Derived'!D4</x:f>
        <x:v>-94.02795765012492</x:v>
      </x:c>
      <x:c r="N3" s="93" t="n">
        <x:f>'Derived'!U4</x:f>
        <x:v>-87.54632913812854</x:v>
      </x:c>
      <x:c r="O3" s="93" t="n">
        <x:f>'Raw_CAD'!C4</x:f>
        <x:v>28.148348415433407</x:v>
      </x:c>
      <x:c r="P3" s="92" t="n">
        <x:f>'Derived'!AD4</x:f>
        <x:v>1.7625482001382995e-15</x:v>
      </x:c>
      <x:c r="Q3" s="92" t="n">
        <x:f>'Derived'!AE4</x:f>
        <x:v>-7.737628254789186e-8</x:v>
      </x:c>
      <x:c r="R3" s="94" t="b">
        <x:f>'Derived'!AF4</x:f>
        <x:v>1</x:v>
      </x:c>
    </x:row>
    <x:row r="4">
      <x:c r="A4" s="92" t="n">
        <x:f>'Derived'!C5</x:f>
        <x:v>0.12999998632631357</x:v>
      </x:c>
      <x:c r="B4" s="92" t="n">
        <x:f>'Derived'!AC5</x:f>
        <x:v>1.6409073231960016</x:v>
      </x:c>
      <x:c r="C4" s="92" t="n">
        <x:f>'Derived'!L5</x:f>
        <x:v>0.009212570023955563</x:v>
      </x:c>
      <x:c r="D4" s="92" t="n">
        <x:f>'Derived'!M5</x:f>
        <x:v>-0.0871554407103998</x:v>
      </x:c>
      <x:c r="E4" s="92" t="n">
        <x:f>'Derived'!N5</x:f>
        <x:v>0.08764098522877466</x:v>
      </x:c>
      <x:c r="F4" s="92" t="n">
        <x:f>'Derived'!P5</x:f>
        <x:v>0.12078741630235801</x:v>
      </x:c>
      <x:c r="G4" s="92" t="n">
        <x:f>'Derived'!Q5</x:f>
        <x:v>0.1489485507899394</x:v>
      </x:c>
      <x:c r="H4" s="92" t="n">
        <x:f>'Derived'!S5</x:f>
        <x:v>0.9291340692849687</x:v>
      </x:c>
      <x:c r="I4" s="92" t="n">
        <x:f>'Derived'!T5</x:f>
        <x:v>1.1457582035129061</x:v>
      </x:c>
      <x:c r="J4" s="92" t="n">
        <x:f>'Derived'!V5</x:f>
        <x:v>0.01491241778378724</x:v>
      </x:c>
      <x:c r="K4" s="92" t="n">
        <x:f>'Derived'!W5</x:f>
        <x:v>0.02751613223956309</x:v>
      </x:c>
      <x:c r="L4" s="92" t="n">
        <x:f>'Derived'!X5</x:f>
        <x:v>0.05131704744068097</x:v>
      </x:c>
      <x:c r="M4" s="93" t="n">
        <x:f>'Derived'!D5</x:f>
        <x:v>-93.81080339965627</x:v>
      </x:c>
      <x:c r="N4" s="93" t="n">
        <x:f>'Derived'!U5</x:f>
        <x:v>-83.9660842599181</x:v>
      </x:c>
      <x:c r="O4" s="93" t="n">
        <x:f>'Raw_CAD'!C5</x:f>
        <x:v>30.816510622449233</x:v>
      </x:c>
      <x:c r="P4" s="92" t="n">
        <x:f>'Derived'!AD5</x:f>
        <x:v>1.7556781416332264e-15</x:v>
      </x:c>
      <x:c r="Q4" s="92" t="n">
        <x:f>'Derived'!AE5</x:f>
        <x:v>-1.3673686433124388e-8</x:v>
      </x:c>
      <x:c r="R4" s="94" t="b">
        <x:f>'Derived'!AF5</x:f>
        <x:v>1</x:v>
      </x:c>
    </x:row>
    <x:row r="5">
      <x:c r="A5" s="92" t="n">
        <x:f>'Derived'!C6</x:f>
        <x:v>0.14000000031435708</x:v>
      </x:c>
      <x:c r="B5" s="92" t="n">
        <x:f>'Derived'!AC6</x:f>
        <x:v>1.6409073231960016</x:v>
      </x:c>
      <x:c r="C5" s="92" t="n">
        <x:f>'Derived'!L6</x:f>
        <x:v>0.014321404542541227</x:v>
      </x:c>
      <x:c r="D5" s="92" t="n">
        <x:f>'Derived'!M6</x:f>
        <x:v>-0.08702737065371526</x:v>
      </x:c>
      <x:c r="E5" s="92" t="n">
        <x:f>'Derived'!N6</x:f>
        <x:v>0.08819787906163197</x:v>
      </x:c>
      <x:c r="F5" s="92" t="n">
        <x:f>'Derived'!P6</x:f>
        <x:v>0.12567859577181587</x:v>
      </x:c>
      <x:c r="G5" s="92" t="n">
        <x:f>'Derived'!Q6</x:f>
        <x:v>0.15286880871542968</x:v>
      </x:c>
      <x:c r="H5" s="92" t="n">
        <x:f>'Derived'!S6</x:f>
        <x:v>0.8977042534972584</x:v>
      </x:c>
      <x:c r="I5" s="92" t="n">
        <x:f>'Derived'!T6</x:f>
        <x:v>1.0919200598012635</x:v>
      </x:c>
      <x:c r="J5" s="92" t="n">
        <x:f>'Derived'!V6</x:f>
        <x:v>0.015030340321921477</x:v>
      </x:c>
      <x:c r="K5" s="92" t="n">
        <x:f>'Derived'!W6</x:f>
        <x:v>0.027794738295756016</x:v>
      </x:c>
      <x:c r="L5" s="92" t="n">
        <x:f>'Derived'!X6</x:f>
        <x:v>0.05337649463420909</x:v>
      </x:c>
      <x:c r="M5" s="93" t="n">
        <x:f>'Derived'!D6</x:f>
        <x:v>-93.81529311499288</x:v>
      </x:c>
      <x:c r="N5" s="93" t="n">
        <x:f>'Derived'!U6</x:f>
        <x:v>-80.65504296868897</x:v>
      </x:c>
      <x:c r="O5" s="93" t="n">
        <x:f>'Raw_CAD'!C6</x:f>
        <x:v>33.48167608919788</x:v>
      </x:c>
      <x:c r="P5" s="92" t="n">
        <x:f>'Derived'!AD6</x:f>
        <x:v>1.7528030918859572e-15</x:v>
      </x:c>
      <x:c r="Q5" s="92" t="n">
        <x:f>'Derived'!AE6</x:f>
        <x:v>3.143570681540808e-10</x:v>
      </x:c>
      <x:c r="R5" s="94" t="b">
        <x:f>'Derived'!AF6</x:f>
        <x:v>1</x:v>
      </x:c>
    </x:row>
    <x:row r="6">
      <x:c r="A6" s="92" t="n">
        <x:f>'Derived'!C7</x:f>
        <x:v>0.14999999027350908</x:v>
      </x:c>
      <x:c r="B6" s="92" t="n">
        <x:f>'Derived'!AC7</x:f>
        <x:v>1.6409073231960014</x:v>
      </x:c>
      <x:c r="C6" s="92" t="n">
        <x:f>'Derived'!L7</x:f>
        <x:v>0.019131471156139206</x:v>
      </x:c>
      <x:c r="D6" s="92" t="n">
        <x:f>'Derived'!M7</x:f>
        <x:v>-0.08673142260676014</x:v>
      </x:c>
      <x:c r="E6" s="92" t="n">
        <x:f>'Derived'!N7</x:f>
        <x:v>0.08881639970180401</x:v>
      </x:c>
      <x:c r="F6" s="92" t="n">
        <x:f>'Derived'!P7</x:f>
        <x:v>0.13086851911736988</x:v>
      </x:c>
      <x:c r="G6" s="92" t="n">
        <x:f>'Derived'!Q7</x:f>
        <x:v>0.1569997100741458</x:v>
      </x:c>
      <x:c r="H6" s="92" t="n">
        <x:f>'Derived'!S7</x:f>
        <x:v>0.8724568506887568</x:v>
      </x:c>
      <x:c r="I6" s="92" t="n">
        <x:f>'Derived'!T7</x:f>
        <x:v>1.0466648016968099</x:v>
      </x:c>
      <x:c r="J6" s="92" t="n">
        <x:f>'Derived'!V7</x:f>
        <x:v>0.015150209936832078</x:v>
      </x:c>
      <x:c r="K6" s="92" t="n">
        <x:f>'Derived'!W7</x:f>
        <x:v>0.028094265906181165</x:v>
      </x:c>
      <x:c r="L6" s="92" t="n">
        <x:f>'Derived'!X7</x:f>
        <x:v>0.05559678516361062</x:v>
      </x:c>
      <x:c r="M6" s="93" t="n">
        <x:f>'Derived'!D7</x:f>
        <x:v>-93.99707899465015</x:v>
      </x:c>
      <x:c r="N6" s="93" t="n">
        <x:f>'Derived'!U7</x:f>
        <x:v>-77.5607279520612</x:v>
      </x:c>
      <x:c r="O6" s="93" t="n">
        <x:f>'Raw_CAD'!C7</x:f>
        <x:v>36.14964968814626</x:v>
      </x:c>
      <x:c r="P6" s="92" t="n">
        <x:f>'Derived'!AD7</x:f>
        <x:v>1.7550952784515113e-15</x:v>
      </x:c>
      <x:c r="Q6" s="92" t="n">
        <x:f>'Derived'!AE7</x:f>
        <x:v>-9.726490918238184e-9</x:v>
      </x:c>
      <x:c r="R6" s="94" t="b">
        <x:f>'Derived'!AF7</x:f>
        <x:v>1</x:v>
      </x:c>
    </x:row>
    <x:row r="7">
      <x:c r="A7" s="92" t="n">
        <x:f>'Derived'!C8</x:f>
        <x:v>0.15999996742482145</x:v>
      </x:c>
      <x:c r="B7" s="92" t="n">
        <x:f>'Derived'!AC8</x:f>
        <x:v>1.6409073231960014</x:v>
      </x:c>
      <x:c r="C7" s="92" t="n">
        <x:f>'Derived'!L8</x:f>
        <x:v>0.023698014483617205</x:v>
      </x:c>
      <x:c r="D7" s="92" t="n">
        <x:f>'Derived'!M8</x:f>
        <x:v>-0.08629606035713873</x:v>
      </x:c>
      <x:c r="E7" s="92" t="n">
        <x:f>'Derived'!N8</x:f>
        <x:v>0.08949081474446784</x:v>
      </x:c>
      <x:c r="F7" s="92" t="n">
        <x:f>'Derived'!P8</x:f>
        <x:v>0.13630195294120423</x:v>
      </x:c>
      <x:c r="G7" s="92" t="n">
        <x:f>'Derived'!Q8</x:f>
        <x:v>0.16132337837012087</x:v>
      </x:c>
      <x:c r="H7" s="92" t="n">
        <x:f>'Derived'!S8</x:f>
        <x:v>0.8518873793224232</x:v>
      </x:c>
      <x:c r="I7" s="92" t="n">
        <x:f>'Derived'!T8</x:f>
        <x:v>1.0082713200921196</x:v>
      </x:c>
      <x:c r="J7" s="92" t="n">
        <x:f>'Derived'!V8</x:f>
        <x:v>0.015273356793650897</x:v>
      </x:c>
      <x:c r="K7" s="92" t="n">
        <x:f>'Derived'!W8</x:f>
        <x:v>0.02841473690232404</x:v>
      </x:c>
      <x:c r="L7" s="92" t="n">
        <x:f>'Derived'!X8</x:f>
        <x:v>0.05797835124104535</x:v>
      </x:c>
      <x:c r="M7" s="93" t="n">
        <x:f>'Derived'!D8</x:f>
        <x:v>-94.3238296412934</x:v>
      </x:c>
      <x:c r="N7" s="93" t="n">
        <x:f>'Derived'!U8</x:f>
        <x:v>-74.644368705435</x:v>
      </x:c>
      <x:c r="O7" s="93" t="n">
        <x:f>'Raw_CAD'!C8</x:f>
        <x:v>38.82518691397492</x:v>
      </x:c>
      <x:c r="P7" s="92" t="n">
        <x:f>'Derived'!AD8</x:f>
        <x:v>1.744453142432665e-15</x:v>
      </x:c>
      <x:c r="Q7" s="92" t="n">
        <x:f>'Derived'!AE8</x:f>
        <x:v>-3.2575178554594686e-8</x:v>
      </x:c>
      <x:c r="R7" s="94" t="b">
        <x:f>'Derived'!AF8</x:f>
        <x:v>1</x:v>
      </x:c>
    </x:row>
    <x:row r="8">
      <x:c r="A8" s="92" t="n">
        <x:f>'Derived'!C9</x:f>
        <x:v>0.16999993686951873</x:v>
      </x:c>
      <x:c r="B8" s="92" t="n">
        <x:f>'Derived'!AC9</x:f>
        <x:v>1.6409073231960016</x:v>
      </x:c>
      <x:c r="C8" s="92" t="n">
        <x:f>'Derived'!L9</x:f>
        <x:v>0.028063223150849356</x:v>
      </x:c>
      <x:c r="D8" s="92" t="n">
        <x:f>'Derived'!M9</x:f>
        <x:v>-0.08574097028860407</x:v>
      </x:c>
      <x:c r="E8" s="92" t="n">
        <x:f>'Derived'!N9</x:f>
        <x:v>0.09021673059718831</x:v>
      </x:c>
      <x:c r="F8" s="92" t="n">
        <x:f>'Derived'!P9</x:f>
        <x:v>0.14193671371866937</x:v>
      </x:c>
      <x:c r="G8" s="92" t="n">
        <x:f>'Derived'!Q9</x:f>
        <x:v>0.16582383630614383</x:v>
      </x:c>
      <x:c r="H8" s="92" t="n">
        <x:f>'Derived'!S9</x:f>
        <x:v>0.8349221554570992</x:v>
      </x:c>
      <x:c r="I8" s="92" t="n">
        <x:f>'Derived'!T9</x:f>
        <x:v>0.9754346934459146</x:v>
      </x:c>
      <x:c r="J8" s="92" t="n">
        <x:f>'Derived'!V9</x:f>
        <x:v>0.015400734225484486</x:v>
      </x:c>
      <x:c r="K8" s="92" t="n">
        <x:f>'Derived'!W9</x:f>
        <x:v>0.028756174888655547</x:v>
      </x:c>
      <x:c r="L8" s="92" t="n">
        <x:f>'Derived'!X9</x:f>
        <x:v>0.06052165667276271</x:v>
      </x:c>
      <x:c r="M8" s="93" t="n">
        <x:f>'Derived'!D9</x:f>
        <x:v>-94.77147514361239</x:v>
      </x:c>
      <x:c r="N8" s="93" t="n">
        <x:f>'Derived'!U9</x:f>
        <x:v>-71.8766054519977</x:v>
      </x:c>
      <x:c r="O8" s="93" t="n">
        <x:f>'Raw_CAD'!C9</x:f>
        <x:v>41.51237701005073</x:v>
      </x:c>
      <x:c r="P8" s="92" t="n">
        <x:f>'Derived'!AD9</x:f>
        <x:v>1.7213850816498977e-15</x:v>
      </x:c>
      <x:c r="Q8" s="92" t="n">
        <x:f>'Derived'!AE9</x:f>
        <x:v>-6.313048128703258e-8</x:v>
      </x:c>
      <x:c r="R8" s="94" t="b">
        <x:f>'Derived'!AF9</x:f>
        <x:v>1</x:v>
      </x:c>
    </x:row>
    <x:row r="9">
      <x:c r="A9" s="92" t="n">
        <x:f>'Derived'!C10</x:f>
        <x:v>0.1799999008452115</x:v>
      </x:c>
      <x:c r="B9" s="92" t="n">
        <x:f>'Derived'!AC10</x:f>
        <x:v>1.6409073231960016</x:v>
      </x:c>
      <x:c r="C9" s="92" t="n">
        <x:f>'Derived'!L10</x:f>
        <x:v>0.03225987729385031</x:v>
      </x:c>
      <x:c r="D9" s="92" t="n">
        <x:f>'Derived'!M10</x:f>
        <x:v>-0.0850799522310659</x:v>
      </x:c>
      <x:c r="E9" s="92" t="n">
        <x:f>'Derived'!N10</x:f>
        <x:v>0.09099064762191077</x:v>
      </x:c>
      <x:c r="F9" s="92" t="n">
        <x:f>'Derived'!P10</x:f>
        <x:v>0.14774002355136118</x:v>
      </x:c>
      <x:c r="G9" s="92" t="n">
        <x:f>'Derived'!Q10</x:f>
        <x:v>0.17048669399867314</x:v>
      </x:c>
      <x:c r="H9" s="92" t="n">
        <x:f>'Derived'!S10</x:f>
        <x:v>0.8207783607525886</x:v>
      </x:c>
      <x:c r="I9" s="92" t="n">
        <x:f>'Derived'!T10</x:f>
        <x:v>0.947148821738968</x:v>
      </x:c>
      <x:c r="J9" s="92" t="n">
        <x:f>'Derived'!V10</x:f>
        <x:v>0.01553304434795158</x:v>
      </x:c>
      <x:c r="K9" s="92" t="n">
        <x:f>'Derived'!W10</x:f>
        <x:v>0.029118604992666216</x:v>
      </x:c>
      <x:c r="L9" s="92" t="n">
        <x:f>'Derived'!X10</x:f>
        <x:v>0.06322718538559054</x:v>
      </x:c>
      <x:c r="M9" s="93" t="n">
        <x:f>'Derived'!D10</x:f>
        <x:v>-95.32179820248356</x:v>
      </x:c>
      <x:c r="N9" s="93" t="n">
        <x:f>'Derived'!U10</x:f>
        <x:v>-69.23470956659682</x:v>
      </x:c>
      <x:c r="O9" s="93" t="n">
        <x:f>'Raw_CAD'!C10</x:f>
        <x:v>44.21489133411625</x:v>
      </x:c>
      <x:c r="P9" s="92" t="n">
        <x:f>'Derived'!AD10</x:f>
        <x:v>1.7163605143262012e-15</x:v>
      </x:c>
      <x:c r="Q9" s="92" t="n">
        <x:f>'Derived'!AE10</x:f>
        <x:v>-9.915478849098491e-8</x:v>
      </x:c>
      <x:c r="R9" s="94" t="b">
        <x:f>'Derived'!AF10</x:f>
        <x:v>1</x:v>
      </x:c>
    </x:row>
    <x:row r="10">
      <x:c r="A10" s="92" t="n">
        <x:f>'Derived'!C11</x:f>
        <x:v>0.18999999999794265</x:v>
      </x:c>
      <x:c r="B10" s="92" t="n">
        <x:f>'Derived'!AC11</x:f>
        <x:v>1.6409073231960016</x:v>
      </x:c>
      <x:c r="C10" s="92" t="n">
        <x:f>'Derived'!L11</x:f>
        <x:v>0.036313893202207</x:v>
      </x:c>
      <x:c r="D10" s="92" t="n">
        <x:f>'Derived'!M11</x:f>
        <x:v>-0.08432271733625801</x:v>
      </x:c>
      <x:c r="E10" s="92" t="n">
        <x:f>'Derived'!N11</x:f>
        <x:v>0.0918096917458705</x:v>
      </x:c>
      <x:c r="F10" s="92" t="n">
        <x:f>'Derived'!P11</x:f>
        <x:v>0.15368610679573563</x:v>
      </x:c>
      <x:c r="G10" s="92" t="n">
        <x:f>'Derived'!Q11</x:f>
        <x:v>0.17529900193954534</x:v>
      </x:c>
      <x:c r="H10" s="92" t="n">
        <x:f>'Derived'!S11</x:f>
        <x:v>0.808874246302104</x:v>
      </x:c>
      <x:c r="I10" s="92" t="n">
        <x:f>'Derived'!T11</x:f>
        <x:v>0.9226263260075974</x:v>
      </x:c>
      <x:c r="J10" s="92" t="n">
        <x:f>'Derived'!V11</x:f>
        <x:v>0.015670819349413345</x:v>
      </x:c>
      <x:c r="K10" s="92" t="n">
        <x:f>'Derived'!W11</x:f>
        <x:v>0.02950205917181755</x:v>
      </x:c>
      <x:c r="L10" s="92" t="n">
        <x:f>'Derived'!X11</x:f>
        <x:v>0.06609547488823712</x:v>
      </x:c>
      <x:c r="M10" s="93" t="n">
        <x:f>'Derived'!D11</x:f>
        <x:v>-95.96084721993202</x:v>
      </x:c>
      <x:c r="N10" s="93" t="n">
        <x:f>'Derived'!U11</x:f>
        <x:v>-66.70069134738733</x:v>
      </x:c>
      <x:c r="O10" s="93" t="n">
        <x:f>'Raw_CAD'!C11</x:f>
        <x:v>46.936191486056956</x:v>
      </x:c>
      <x:c r="P10" s="92" t="n">
        <x:f>'Derived'!AD11</x:f>
        <x:v>1.715195939391036e-15</x:v>
      </x:c>
      <x:c r="Q10" s="92" t="n">
        <x:f>'Derived'!AE11</x:f>
        <x:v>-2.0573542869328776e-12</x:v>
      </x:c>
      <x:c r="R10" s="94" t="b">
        <x:f>'Derived'!AF11</x:f>
        <x:v>1</x:v>
      </x:c>
    </x:row>
    <x:row r="11">
      <x:c r="A11" s="92" t="n">
        <x:f>'Derived'!C12</x:f>
        <x:v>0.19999999999644272</x:v>
      </x:c>
      <x:c r="B11" s="92" t="n">
        <x:f>'Derived'!AC12</x:f>
        <x:v>1.6409073231960016</x:v>
      </x:c>
      <x:c r="C11" s="92" t="n">
        <x:f>'Derived'!L12</x:f>
        <x:v>0.04024585424547518</x:v>
      </x:c>
      <x:c r="D11" s="92" t="n">
        <x:f>'Derived'!M12</x:f>
        <x:v>-0.08347609184317727</x:v>
      </x:c>
      <x:c r="E11" s="92" t="n">
        <x:f>'Derived'!N12</x:f>
        <x:v>0.09267139091088791</x:v>
      </x:c>
      <x:c r="F11" s="92" t="n">
        <x:f>'Derived'!P12</x:f>
        <x:v>0.15975414575096752</x:v>
      </x:c>
      <x:c r="G11" s="92" t="n">
        <x:f>'Derived'!Q12</x:f>
        <x:v>0.18024884186599352</x:v>
      </x:c>
      <x:c r="H11" s="92" t="n">
        <x:f>'Derived'!S12</x:f>
        <x:v>0.7987707287690449</x:v>
      </x:c>
      <x:c r="I11" s="92" t="n">
        <x:f>'Derived'!T12</x:f>
        <x:v>0.9012442093459975</x:v>
      </x:c>
      <x:c r="J11" s="92" t="n">
        <x:f>'Derived'!V12</x:f>
        <x:v>0.015814465936028775</x:v>
      </x:c>
      <x:c r="K11" s="92" t="n">
        <x:f>'Derived'!W12</x:f>
        <x:v>0.029906556192670707</x:v>
      </x:c>
      <x:c r="L11" s="92" t="n">
        <x:f>'Derived'!X12</x:f>
        <x:v>0.06912696233477411</x:v>
      </x:c>
      <x:c r="M11" s="93" t="n">
        <x:f>'Derived'!D12</x:f>
        <x:v>-96.67781582292957</x:v>
      </x:c>
      <x:c r="N11" s="93" t="n">
        <x:f>'Derived'!U12</x:f>
        <x:v>-64.260153293518</x:v>
      </x:c>
      <x:c r="O11" s="93" t="n">
        <x:f>'Raw_CAD'!C12</x:f>
        <x:v>49.67951222285053</x:v>
      </x:c>
      <x:c r="P11" s="92" t="n">
        <x:f>'Derived'!AD12</x:f>
        <x:v>1.7050531655582542e-15</x:v>
      </x:c>
      <x:c r="Q11" s="92" t="n">
        <x:f>'Derived'!AE12</x:f>
        <x:v>-3.5572933487770797e-12</x:v>
      </x:c>
      <x:c r="R11" s="94" t="b">
        <x:f>'Derived'!AF12</x:f>
        <x:v>1</x:v>
      </x:c>
    </x:row>
    <x:row r="12">
      <x:c r="A12" s="92" t="n">
        <x:f>'Derived'!C13</x:f>
        <x:v>0.20999999999427574</x:v>
      </x:c>
      <x:c r="B12" s="92" t="n">
        <x:f>'Derived'!AC13</x:f>
        <x:v>1.6409073231960014</x:v>
      </x:c>
      <x:c r="C12" s="92" t="n">
        <x:f>'Derived'!L13</x:f>
        <x:v>0.04407253780133136</x:v>
      </x:c>
      <x:c r="D12" s="92" t="n">
        <x:f>'Derived'!M13</x:f>
        <x:v>-0.08254473001056813</x:v>
      </x:c>
      <x:c r="E12" s="92" t="n">
        <x:f>'Derived'!N13</x:f>
        <x:v>0.09357361295134098</x:v>
      </x:c>
      <x:c r="F12" s="92" t="n">
        <x:f>'Derived'!P13</x:f>
        <x:v>0.16592746219294438</x:v>
      </x:c>
      <x:c r="G12" s="92" t="n">
        <x:f>'Derived'!Q13</x:f>
        <x:v>0.1853255383435013</x:v>
      </x:c>
      <x:c r="H12" s="92" t="n">
        <x:f>'Derived'!S13</x:f>
        <x:v>0.7901307723688918</x:v>
      </x:c>
      <x:c r="I12" s="92" t="n">
        <x:f>'Derived'!T13</x:f>
        <x:v>0.8825025635645379</x:v>
      </x:c>
      <x:c r="J12" s="92" t="n">
        <x:f>'Derived'!V13</x:f>
        <x:v>0.015964309404712194</x:v>
      </x:c>
      <x:c r="K12" s="92" t="n">
        <x:f>'Derived'!W13</x:f>
        <x:v>0.030332128452565638</x:v>
      </x:c>
      <x:c r="L12" s="92" t="n">
        <x:f>'Derived'!X13</x:f>
        <x:v>0.07232218238977656</x:v>
      </x:c>
      <x:c r="M12" s="93" t="n">
        <x:f>'Derived'!D13</x:f>
        <x:v>-97.46433081163165</x:v>
      </x:c>
      <x:c r="N12" s="93" t="n">
        <x:f>'Derived'!U13</x:f>
        <x:v>-61.90121170591755</x:v>
      </x:c>
      <x:c r="O12" s="93" t="n">
        <x:f>'Raw_CAD'!C13</x:f>
        <x:v>52.44814832642049</x:v>
      </x:c>
      <x:c r="P12" s="92" t="n">
        <x:f>'Derived'!AD13</x:f>
        <x:v>1.6966704150014343e-15</x:v>
      </x:c>
      <x:c r="Q12" s="92" t="n">
        <x:f>'Derived'!AE13</x:f>
        <x:v>-5.724254403816076e-12</x:v>
      </x:c>
      <x:c r="R12" s="94" t="b">
        <x:f>'Derived'!AF13</x:f>
        <x:v>1</x:v>
      </x:c>
    </x:row>
    <x:row r="13">
      <x:c r="A13" s="92" t="n">
        <x:f>'Derived'!C14</x:f>
        <x:v>0.21999999999125355</x:v>
      </x:c>
      <x:c r="B13" s="92" t="n">
        <x:f>'Derived'!AC14</x:f>
        <x:v>1.6409073231960014</x:v>
      </x:c>
      <x:c r="C13" s="92" t="n">
        <x:f>'Derived'!L14</x:f>
        <x:v>0.047807637044325</x:v>
      </x:c>
      <x:c r="D13" s="92" t="n">
        <x:f>'Derived'!M14</x:f>
        <x:v>-0.08153165719066027</x:v>
      </x:c>
      <x:c r="E13" s="92" t="n">
        <x:f>'Derived'!N14</x:f>
        <x:v>0.09451445013339103</x:v>
      </x:c>
      <x:c r="F13" s="92" t="n">
        <x:f>'Derived'!P14</x:f>
        <x:v>0.17219236294692855</x:v>
      </x:c>
      <x:c r="G13" s="92" t="n">
        <x:f>'Derived'!Q14</x:f>
        <x:v>0.19051934542587037</x:v>
      </x:c>
      <x:c r="H13" s="92" t="n">
        <x:f>'Derived'!S14</x:f>
        <x:v>0.7826925588807924</x:v>
      </x:c>
      <x:c r="I13" s="92" t="n">
        <x:f>'Derived'!T14</x:f>
        <x:v>0.8659970246974762</x:v>
      </x:c>
      <x:c r="J13" s="92" t="n">
        <x:f>'Derived'!V14</x:f>
        <x:v>0.016120611219069762</x:v>
      </x:c>
      <x:c r="K13" s="92" t="n">
        <x:f>'Derived'!W14</x:f>
        <x:v>0.0307788056259865</x:v>
      </x:c>
      <x:c r="L13" s="92" t="n">
        <x:f>'Derived'!X14</x:f>
        <x:v>0.07568164330220942</x:v>
      </x:c>
      <x:c r="M13" s="93" t="n">
        <x:f>'Derived'!D14</x:f>
        <x:v>-98.31388946949</x:v>
      </x:c>
      <x:c r="N13" s="93" t="n">
        <x:f>'Derived'!U14</x:f>
        <x:v>-59.61396162884323</x:v>
      </x:c>
      <x:c r="O13" s="93" t="n">
        <x:f>'Raw_CAD'!C14</x:f>
        <x:v>55.24541465541055</x:v>
      </x:c>
      <x:c r="P13" s="92" t="n">
        <x:f>'Derived'!AD14</x:f>
        <x:v>1.6877575712723597e-15</x:v>
      </x:c>
      <x:c r="Q13" s="92" t="n">
        <x:f>'Derived'!AE14</x:f>
        <x:v>-8.746448010299446e-12</x:v>
      </x:c>
      <x:c r="R13" s="94" t="b">
        <x:f>'Derived'!AF14</x:f>
        <x:v>1</x:v>
      </x:c>
    </x:row>
    <x:row r="14">
      <x:c r="A14" s="92" t="n">
        <x:f>'Derived'!C15</x:f>
        <x:v>0.22999999998710188</x:v>
      </x:c>
      <x:c r="B14" s="92" t="n">
        <x:f>'Derived'!AC15</x:f>
        <x:v>1.6409073231960016</x:v>
      </x:c>
      <x:c r="C14" s="92" t="n">
        <x:f>'Derived'!L15</x:f>
        <x:v>0.05146246507654793</x:v>
      </x:c>
      <x:c r="D14" s="92" t="n">
        <x:f>'Derived'!M15</x:f>
        <x:v>-0.08043860737497364</x:v>
      </x:c>
      <x:c r="E14" s="92" t="n">
        <x:f>'Derived'!N15</x:f>
        <x:v>0.09549217176386805</x:v>
      </x:c>
      <x:c r="F14" s="92" t="n">
        <x:f>'Derived'!P15</x:f>
        <x:v>0.17853753491055396</x:v>
      </x:c>
      <x:c r="G14" s="92" t="n">
        <x:f>'Derived'!Q15</x:f>
        <x:v>0.19582140058829742</x:v>
      </x:c>
      <x:c r="H14" s="92" t="n">
        <x:f>'Derived'!S15</x:f>
        <x:v>0.7762501518285484</x:v>
      </x:c>
      <x:c r="I14" s="92" t="n">
        <x:f>'Derived'!T15</x:f>
        <x:v>0.851397393909908</x:v>
      </x:c>
      <x:c r="J14" s="92" t="n">
        <x:f>'Derived'!V15</x:f>
        <x:v>0.016283586670691016</x:v>
      </x:c>
      <x:c r="K14" s="92" t="n">
        <x:f>'Derived'!W15</x:f>
        <x:v>0.0312466183123169</x:v>
      </x:c>
      <x:c r="L14" s="92" t="n">
        <x:f>'Derived'!X15</x:f>
        <x:v>0.07920585322746808</x:v>
      </x:c>
      <x:c r="M14" s="93" t="n">
        <x:f>'Derived'!D15</x:f>
        <x:v>-99.22148030112281</x:v>
      </x:c>
      <x:c r="N14" s="93" t="n">
        <x:f>'Derived'!U15</x:f>
        <x:v>-57.38997666498117</x:v>
      </x:c>
      <x:c r="O14" s="93" t="n">
        <x:f>'Raw_CAD'!C15</x:f>
        <x:v>58.07474125579113</x:v>
      </x:c>
      <x:c r="P14" s="92" t="n">
        <x:f>'Derived'!AD15</x:f>
        <x:v>1.6750935775328828e-15</x:v>
      </x:c>
      <x:c r="Q14" s="92" t="n">
        <x:f>'Derived'!AE15</x:f>
        <x:v>-1.2898127010885219e-11</x:v>
      </x:c>
      <x:c r="R14" s="94" t="b">
        <x:f>'Derived'!AF15</x:f>
        <x:v>1</x:v>
      </x:c>
    </x:row>
    <x:row r="15">
      <x:c r="A15" s="92" t="n">
        <x:f>'Derived'!C16</x:f>
        <x:v>0.2399999999814412</x:v>
      </x:c>
      <x:c r="B15" s="92" t="n">
        <x:f>'Derived'!AC16</x:f>
        <x:v>1.6409073231960012</x:v>
      </x:c>
      <x:c r="C15" s="92" t="n">
        <x:f>'Derived'!L16</x:f>
        <x:v>0.055046451349278464</x:v>
      </x:c>
      <x:c r="D15" s="92" t="n">
        <x:f>'Derived'!M16</x:f>
        <x:v>-0.0792662542855619</x:v>
      </x:c>
      <x:c r="E15" s="92" t="n">
        <x:f>'Derived'!N16</x:f>
        <x:v>0.0965051857394816</x:v>
      </x:c>
      <x:c r="F15" s="92" t="n">
        <x:f>'Derived'!P16</x:f>
        <x:v>0.18495354863216273</x:v>
      </x:c>
      <x:c r="G15" s="92" t="n">
        <x:f>'Derived'!Q16</x:f>
        <x:v>0.20122364229904285</x:v>
      </x:c>
      <x:c r="H15" s="92" t="n">
        <x:f>'Derived'!S16</x:f>
        <x:v>0.7706397860269371</x:v>
      </x:c>
      <x:c r="I15" s="92" t="n">
        <x:f>'Derived'!T16</x:f>
        <x:v>0.838431842977513</x:v>
      </x:c>
      <x:c r="J15" s="92" t="n">
        <x:f>'Derived'!V16</x:f>
        <x:v>0.01645341645831665</x:v>
      </x:c>
      <x:c r="K15" s="92" t="n">
        <x:f>'Derived'!W16</x:f>
        <x:v>0.031735598021228786</x:v>
      </x:c>
      <x:c r="L15" s="92" t="n">
        <x:f>'Derived'!X16</x:f>
        <x:v>0.08289531976126151</x:v>
      </x:c>
      <x:c r="M15" s="93" t="n">
        <x:f>'Derived'!D16</x:f>
        <x:v>-100.1833041727609</x:v>
      </x:c>
      <x:c r="N15" s="93" t="n">
        <x:f>'Derived'!U16</x:f>
        <x:v>-55.22195336963202</x:v>
      </x:c>
      <x:c r="O15" s="93" t="n">
        <x:f>'Raw_CAD'!C16</x:f>
        <x:v>60.939737824776486</x:v>
      </x:c>
      <x:c r="P15" s="92" t="n">
        <x:f>'Derived'!AD16</x:f>
        <x:v>1.6638783588759523e-15</x:v>
      </x:c>
      <x:c r="Q15" s="92" t="n">
        <x:f>'Derived'!AE16</x:f>
        <x:v>-1.855879339096589e-11</x:v>
      </x:c>
      <x:c r="R15" s="94" t="b">
        <x:f>'Derived'!AF16</x:f>
        <x:v>1</x:v>
      </x:c>
    </x:row>
    <x:row r="16">
      <x:c r="A16" s="92" t="n">
        <x:f>'Derived'!C17</x:f>
        <x:v>0.249999999973743</x:v>
      </x:c>
      <x:c r="B16" s="92" t="n">
        <x:f>'Derived'!AC17</x:f>
        <x:v>1.6409073231960016</x:v>
      </x:c>
      <x:c r="C16" s="92" t="n">
        <x:f>'Derived'!L17</x:f>
        <x:v>0.05856751808657179</x:v>
      </x:c>
      <x:c r="D16" s="92" t="n">
        <x:f>'Derived'!M17</x:f>
        <x:v>-0.07801436254672514</x:v>
      </x:c>
      <x:c r="E16" s="92" t="n">
        <x:f>'Derived'!N17</x:f>
        <x:v>0.09755201145231596</x:v>
      </x:c>
      <x:c r="F16" s="92" t="n">
        <x:f>'Derived'!P17</x:f>
        <x:v>0.1914324818871712</x:v>
      </x:c>
      <x:c r="G16" s="92" t="n">
        <x:f>'Derived'!Q17</x:f>
        <x:v>0.20671873617322162</x:v>
      </x:c>
      <x:c r="H16" s="92" t="n">
        <x:f>'Derived'!S17</x:f>
        <x:v>0.765729927629108</x:v>
      </x:c>
      <x:c r="I16" s="92" t="n">
        <x:f>'Derived'!T17</x:f>
        <x:v>0.8268749447797314</x:v>
      </x:c>
      <x:c r="J16" s="92" t="n">
        <x:f>'Derived'!V17</x:f>
        <x:v>0.016630255049486176</x:v>
      </x:c>
      <x:c r="K16" s="92" t="n">
        <x:f>'Derived'!W17</x:f>
        <x:v>0.03224577719432026</x:v>
      </x:c>
      <x:c r="L16" s="92" t="n">
        <x:f>'Derived'!X17</x:f>
        <x:v>0.08675055021273954</x:v>
      </x:c>
      <x:c r="M16" s="93" t="n">
        <x:f>'Derived'!D17</x:f>
        <x:v>-101.19657230283089</x:v>
      </x:c>
      <x:c r="N16" s="93" t="n">
        <x:f>'Derived'!U17</x:f>
        <x:v>-53.10343910867286</x:v>
      </x:c>
      <x:c r="O16" s="93" t="n">
        <x:f>'Raw_CAD'!C17</x:f>
        <x:v>63.84425872945508</x:v>
      </x:c>
      <x:c r="P16" s="92" t="n">
        <x:f>'Derived'!AD17</x:f>
        <x:v>1.64134636490861e-15</x:v>
      </x:c>
      <x:c r="Q16" s="92" t="n">
        <x:f>'Derived'!AE17</x:f>
        <x:v>-2.6256996576989877e-11</x:v>
      </x:c>
      <x:c r="R16" s="94" t="b">
        <x:f>'Derived'!AF17</x:f>
        <x:v>1</x:v>
      </x:c>
    </x:row>
    <x:row r="17">
      <x:c r="A17" s="92" t="n">
        <x:f>'Derived'!C18</x:f>
        <x:v>0.25999999996326434</x:v>
      </x:c>
      <x:c r="B17" s="92" t="n">
        <x:f>'Derived'!AC18</x:f>
        <x:v>1.6409073231960016</x:v>
      </x:c>
      <x:c r="C17" s="92" t="n">
        <x:f>'Derived'!L18</x:f>
        <x:v>0.062032369081880714</x:v>
      </x:c>
      <x:c r="D17" s="92" t="n">
        <x:f>'Derived'!M18</x:f>
        <x:v>-0.07668188004039024</x:v>
      </x:c>
      <x:c r="E17" s="92" t="n">
        <x:f>'Derived'!N18</x:f>
        <x:v>0.09863126046259102</x:v>
      </x:c>
      <x:c r="F17" s="92" t="n">
        <x:f>'Derived'!P18</x:f>
        <x:v>0.19796763088138364</x:v>
      </x:c>
      <x:c r="G17" s="92" t="n">
        <x:f>'Derived'!Q18</x:f>
        <x:v>0.2123000084863789</x:v>
      </x:c>
      <x:c r="H17" s="92" t="n">
        <x:f>'Derived'!S18</x:f>
        <x:v>0.7614139650359796</x:v>
      </x:c>
      <x:c r="I17" s="92" t="n">
        <x:f>'Derived'!T18</x:f>
        <x:v>0.8165384942937499</x:v>
      </x:c>
      <x:c r="J17" s="92" t="n">
        <x:f>'Derived'!V18</x:f>
        <x:v>0.016814236825113023</x:v>
      </x:c>
      <x:c r="K17" s="92" t="n">
        <x:f>'Derived'!W18</x:f>
        <x:v>0.03277718926539021</x:v>
      </x:c>
      <x:c r="L17" s="92" t="n">
        <x:f>'Derived'!X18</x:f>
        <x:v>0.0907720525647123</x:v>
      </x:c>
      <x:c r="M17" s="93" t="n">
        <x:f>'Derived'!D18</x:f>
        <x:v>-102.25936149514528</x:v>
      </x:c>
      <x:c r="N17" s="93" t="n">
        <x:f>'Derived'!U18</x:f>
        <x:v>-51.02861884063925</x:v>
      </x:c>
      <x:c r="O17" s="93" t="n">
        <x:f>'Raw_CAD'!C18</x:f>
        <x:v>66.79247240165239</x:v>
      </x:c>
      <x:c r="P17" s="92" t="n">
        <x:f>'Derived'!AD18</x:f>
        <x:v>1.616182383377794e-15</x:v>
      </x:c>
      <x:c r="Q17" s="92" t="n">
        <x:f>'Derived'!AE18</x:f>
        <x:v>-3.6735670061460723e-11</x:v>
      </x:c>
      <x:c r="R17" s="94" t="b">
        <x:f>'Derived'!AF18</x:f>
        <x:v>1</x:v>
      </x:c>
    </x:row>
    <x:row r="18">
      <x:c r="A18" s="92" t="n">
        <x:f>'Derived'!C19</x:f>
        <x:v>0.2699999999489485</x:v>
      </x:c>
      <x:c r="B18" s="92" t="n">
        <x:f>'Derived'!AC19</x:f>
        <x:v>1.6409073231960019</x:v>
      </x:c>
      <x:c r="C18" s="92" t="n">
        <x:f>'Derived'!L19</x:f>
        <x:v>0.06544671360012103</x:v>
      </x:c>
      <x:c r="D18" s="92" t="n">
        <x:f>'Derived'!M19</x:f>
        <x:v>-0.07526698444664466</x:v>
      </x:c>
      <x:c r="E18" s="92" t="n">
        <x:f>'Derived'!N19</x:f>
        <x:v>0.09974162254920318</x:v>
      </x:c>
      <x:c r="F18" s="92" t="n">
        <x:f>'Derived'!P19</x:f>
        <x:v>0.2045532863488275</x:v>
      </x:c>
      <x:c r="G18" s="92" t="n">
        <x:f>'Derived'!Q19</x:f>
        <x:v>0.21796138626783615</x:v>
      </x:c>
      <x:c r="H18" s="92" t="n">
        <x:f>'Derived'!S19</x:f>
        <x:v>0.7576047643981643</x:v>
      </x:c>
      <x:c r="I18" s="92" t="n">
        <x:f>'Derived'!T19</x:f>
        <x:v>0.8072643937372155</x:v>
      </x:c>
      <x:c r="J18" s="92" t="n">
        <x:f>'Derived'!V19</x:f>
        <x:v>0.017005480676546943</x:v>
      </x:c>
      <x:c r="K18" s="92" t="n">
        <x:f>'Derived'!W19</x:f>
        <x:v>0.03332986876345423</x:v>
      </x:c>
      <x:c r="L18" s="92" t="n">
        <x:f>'Derived'!X19</x:f>
        <x:v>0.09496033711237463</x:v>
      </x:c>
      <x:c r="M18" s="93" t="n">
        <x:f>'Derived'!D19</x:f>
        <x:v>-103.37051358224186</x:v>
      </x:c>
      <x:c r="N18" s="93" t="n">
        <x:f>'Derived'!U19</x:f>
        <x:v>-48.99214334665165</x:v>
      </x:c>
      <x:c r="O18" s="93" t="n">
        <x:f>'Raw_CAD'!C19</x:f>
        <x:v>69.78893892488013</x:v>
      </x:c>
      <x:c r="P18" s="92" t="n">
        <x:f>'Derived'!AD19</x:f>
        <x:v>1.6040752638292997e-15</x:v>
      </x:c>
      <x:c r="Q18" s="92" t="n">
        <x:f>'Derived'!AE19</x:f>
        <x:v>-5.1051496363641036e-11</x:v>
      </x:c>
      <x:c r="R18" s="94" t="b">
        <x:f>'Derived'!AF19</x:f>
        <x:v>1</x:v>
      </x:c>
    </x:row>
    <x:row r="19">
      <x:c r="A19" s="92" t="n">
        <x:f>'Derived'!C20</x:f>
        <x:v>0.279999999929275</x:v>
      </x:c>
      <x:c r="B19" s="92" t="n">
        <x:f>'Derived'!AC20</x:f>
        <x:v>1.6409073231960016</x:v>
      </x:c>
      <x:c r="C19" s="92" t="n">
        <x:f>'Derived'!L20</x:f>
        <x:v>0.06881544157957542</x:v>
      </x:c>
      <x:c r="D19" s="92" t="n">
        <x:f>'Derived'!M20</x:f>
        <x:v>-0.07376709140268298</x:v>
      </x:c>
      <x:c r="E19" s="92" t="n">
        <x:f>'Derived'!N20</x:f>
        <x:v>0.10088185552319973</x:v>
      </x:c>
      <x:c r="F19" s="92" t="n">
        <x:f>'Derived'!P20</x:f>
        <x:v>0.21118455834969957</x:v>
      </x:c>
      <x:c r="G19" s="92" t="n">
        <x:f>'Derived'!Q20</x:f>
        <x:v>0.22369734343386702</x:v>
      </x:c>
      <x:c r="H19" s="92" t="n">
        <x:f>'Derived'!S20</x:f>
        <x:v>0.7542305657251519</x:v>
      </x:c>
      <x:c r="I19" s="92" t="n">
        <x:f>'Derived'!T20</x:f>
        <x:v>0.7989190838941806</x:v>
      </x:c>
      <x:c r="J19" s="92" t="n">
        <x:f>'Derived'!V20</x:f>
        <x:v>0.017204093512527097</x:v>
      </x:c>
      <x:c r="K19" s="92" t="n">
        <x:f>'Derived'!W20</x:f>
        <x:v>0.03390385146471687</x:v>
      </x:c>
      <x:c r="L19" s="92" t="n">
        <x:f>'Derived'!X20</x:f>
        <x:v>0.09931591881360664</x:v>
      </x:c>
      <x:c r="M19" s="93" t="n">
        <x:f>'Derived'!D20</x:f>
        <x:v>-104.52957062146496</x:v>
      </x:c>
      <x:c r="N19" s="93" t="n">
        <x:f>'Derived'!U20</x:f>
        <x:v>-46.98898600640444</x:v>
      </x:c>
      <x:c r="O19" s="93" t="n">
        <x:f>'Raw_CAD'!C20</x:f>
        <x:v>72.83870005789707</x:v>
      </x:c>
      <x:c r="P19" s="92" t="n">
        <x:f>'Derived'!AD20</x:f>
        <x:v>1.5927539092409249e-15</x:v>
      </x:c>
      <x:c r="Q19" s="92" t="n">
        <x:f>'Derived'!AE20</x:f>
        <x:v>-7.072503693805743e-11</x:v>
      </x:c>
      <x:c r="R19" s="94" t="b">
        <x:f>'Derived'!AF20</x:f>
        <x:v>1</x:v>
      </x:c>
    </x:row>
    <x:row r="20">
      <x:c r="A20" s="92" t="n">
        <x:f>'Derived'!C21</x:f>
        <x:v>0.28999999990202235</x:v>
      </x:c>
      <x:c r="B20" s="92" t="n">
        <x:f>'Derived'!AC21</x:f>
        <x:v>1.6409073231960014</x:v>
      </x:c>
      <x:c r="C20" s="92" t="n">
        <x:f>'Derived'!L21</x:f>
        <x:v>0.07214276181544664</x:v>
      </x:c>
      <x:c r="D20" s="92" t="n">
        <x:f>'Derived'!M21</x:f>
        <x:v>-0.07217882755124869</x:v>
      </x:c>
      <x:c r="E20" s="92" t="n">
        <x:f>'Derived'!N21</x:f>
        <x:v>0.10205077769930596</x:v>
      </x:c>
      <x:c r="F20" s="92" t="n">
        <x:f>'Derived'!P21</x:f>
        <x:v>0.2178572380865757</x:v>
      </x:c>
      <x:c r="G20" s="92" t="n">
        <x:f>'Derived'!Q21</x:f>
        <x:v>0.2295028525604504</x:v>
      </x:c>
      <x:c r="H20" s="92" t="n">
        <x:f>'Derived'!S21</x:f>
        <x:v>0.7512318557247574</x:v>
      </x:c>
      <x:c r="I20" s="92" t="n">
        <x:f>'Derived'!T21</x:f>
        <x:v>0.7913891470275477</x:v>
      </x:c>
      <x:c r="J20" s="92" t="n">
        <x:f>'Derived'!V21</x:f>
        <x:v>0.017410172995361694</x:v>
      </x:c>
      <x:c r="K20" s="92" t="n">
        <x:f>'Derived'!W21</x:f>
        <x:v>0.03449917460249072</x:v>
      </x:c>
      <x:c r="L20" s="92" t="n">
        <x:f>'Derived'!X21</x:f>
        <x:v>0.10383932042966391</x:v>
      </x:c>
      <x:c r="M20" s="93" t="n">
        <x:f>'Derived'!D21</x:f>
        <x:v>-105.73674076622322</x:v>
      </x:c>
      <x:c r="N20" s="93" t="n">
        <x:f>'Derived'!U21</x:f>
        <x:v>-45.014318123937954</x:v>
      </x:c>
      <x:c r="O20" s="93" t="n">
        <x:f>'Raw_CAD'!C21</x:f>
        <x:v>75.94738683271795</x:v>
      </x:c>
      <x:c r="P20" s="92" t="n">
        <x:f>'Derived'!AD21</x:f>
        <x:v>1.5737470268884217e-15</x:v>
      </x:c>
      <x:c r="Q20" s="92" t="n">
        <x:f>'Derived'!AE21</x:f>
        <x:v>-9.797762601237991e-11</x:v>
      </x:c>
      <x:c r="R20" s="94" t="b">
        <x:f>'Derived'!AF21</x:f>
        <x:v>1</x:v>
      </x:c>
    </x:row>
    <x:row r="21">
      <x:c r="A21" s="92" t="n">
        <x:f>'Derived'!C22</x:f>
        <x:v>0.29999999986389114</x:v>
      </x:c>
      <x:c r="B21" s="92" t="n">
        <x:f>'Derived'!AC22</x:f>
        <x:v>1.6409073231960014</x:v>
      </x:c>
      <x:c r="C21" s="92" t="n">
        <x:f>'Derived'!L22</x:f>
        <x:v>0.07543231163861998</x:v>
      </x:c>
      <x:c r="D21" s="92" t="n">
        <x:f>'Derived'!M22</x:f>
        <x:v>-0.07049796823714752</x:v>
      </x:c>
      <x:c r="E21" s="92" t="n">
        <x:f>'Derived'!N22</x:f>
        <x:v>0.10324726226254981</x:v>
      </x:c>
      <x:c r="F21" s="92" t="n">
        <x:f>'Derived'!P22</x:f>
        <x:v>0.22456768822527118</x:v>
      </x:c>
      <x:c r="G21" s="92" t="n">
        <x:f>'Derived'!Q22</x:f>
        <x:v>0.23537334199184168</x:v>
      </x:c>
      <x:c r="H21" s="92" t="n">
        <x:f>'Derived'!S22</x:f>
        <x:v>0.7485589610905222</x:v>
      </x:c>
      <x:c r="I21" s="92" t="n">
        <x:f>'Derived'!T22</x:f>
        <x:v>0.7845778069954322</x:v>
      </x:c>
      <x:c r="J21" s="92" t="n">
        <x:f>'Derived'!V22</x:f>
        <x:v>0.01762380973505946</x:v>
      </x:c>
      <x:c r="K21" s="92" t="n">
        <x:f>'Derived'!W22</x:f>
        <x:v>0.03511587714788357</x:v>
      </x:c>
      <x:c r="L21" s="92" t="n">
        <x:f>'Derived'!X22</x:f>
        <x:v>0.10853107659116419</x:v>
      </x:c>
      <x:c r="M21" s="93" t="n">
        <x:f>'Derived'!D22</x:f>
        <x:v>-106.99289246122997</x:v>
      </x:c>
      <x:c r="N21" s="93" t="n">
        <x:f>'Derived'!U22</x:f>
        <x:v>-43.063394517676414</x:v>
      </x:c>
      <x:c r="O21" s="93" t="n">
        <x:f>'Raw_CAD'!C22</x:f>
        <x:v>79.12135133916097</x:v>
      </x:c>
      <x:c r="P21" s="92" t="n">
        <x:f>'Derived'!AD22</x:f>
        <x:v>1.5474559905475697e-15</x:v>
      </x:c>
      <x:c r="Q21" s="92" t="n">
        <x:f>'Derived'!AE22</x:f>
        <x:v>-1.3610884641579446e-10</x:v>
      </x:c>
      <x:c r="R21" s="94" t="b">
        <x:f>'Derived'!AF22</x:f>
        <x:v>1</x:v>
      </x:c>
    </x:row>
    <x:row r="22">
      <x:c r="A22" s="92" t="n">
        <x:f>'Derived'!C23</x:f>
        <x:v>0.30999999980988924</x:v>
      </x:c>
      <x:c r="B22" s="92" t="n">
        <x:f>'Derived'!AC23</x:f>
        <x:v>1.6409073231960016</x:v>
      </x:c>
      <x:c r="C22" s="92" t="n">
        <x:f>'Derived'!L23</x:f>
        <x:v>0.07868724433828353</x:v>
      </x:c>
      <x:c r="D22" s="92" t="n">
        <x:f>'Derived'!M23</x:f>
        <x:v>-0.06871933615529788</x:v>
      </x:c>
      <x:c r="E22" s="92" t="n">
        <x:f>'Derived'!N23</x:f>
        <x:v>0.10447023300049428</x:v>
      </x:c>
      <x:c r="F22" s="92" t="n">
        <x:f>'Derived'!P23</x:f>
        <x:v>0.2313127554716057</x:v>
      </x:c>
      <x:c r="G22" s="92" t="n">
        <x:f>'Derived'!Q23</x:f>
        <x:v>0.24130465806836734</x:v>
      </x:c>
      <x:c r="H22" s="92" t="n">
        <x:f>'Derived'!S23</x:f>
        <x:v>0.7461701793982602</x:v>
      </x:c>
      <x:c r="I22" s="92" t="n">
        <x:f>'Derived'!T23</x:f>
        <x:v>0.7784021232785483</x:v>
      </x:c>
      <x:c r="J22" s="92" t="n">
        <x:f>'Derived'!V23</x:f>
        <x:v>0.017845089110902733</x:v>
      </x:c>
      <x:c r="K22" s="92" t="n">
        <x:f>'Derived'!W23</x:f>
        <x:v>0.035754000179516604</x:v>
      </x:c>
      <x:c r="L22" s="92" t="n">
        <x:f>'Derived'!X23</x:f>
        <x:v>0.11339173899871682</x:v>
      </x:c>
      <x:c r="M22" s="93" t="n">
        <x:f>'Derived'!D23</x:f>
        <x:v>-108.29957709566698</x:v>
      </x:c>
      <x:c r="N22" s="93" t="n">
        <x:f>'Derived'!U23</x:f>
        <x:v>-41.13144185133094</x:v>
      </x:c>
      <x:c r="O22" s="93" t="n">
        <x:f>'Raw_CAD'!C23</x:f>
        <x:v>82.36783158969689</x:v>
      </x:c>
      <x:c r="P22" s="92" t="n">
        <x:f>'Derived'!AD23</x:f>
        <x:v>1.5242793677333087e-15</x:v>
      </x:c>
      <x:c r="Q22" s="92" t="n">
        <x:f>'Derived'!AE23</x:f>
        <x:v>-1.9011076046737685e-10</x:v>
      </x:c>
      <x:c r="R22" s="94" t="b">
        <x:f>'Derived'!AF23</x:f>
        <x:v>1</x:v>
      </x:c>
    </x:row>
    <x:row r="23">
      <x:c r="A23" s="92" t="n">
        <x:f>'Derived'!C24</x:f>
        <x:v>0.319999999732301</x:v>
      </x:c>
      <x:c r="B23" s="92" t="n">
        <x:f>'Derived'!AC24</x:f>
        <x:v>1.6409073231960016</x:v>
      </x:c>
      <x:c r="C23" s="92" t="n">
        <x:f>'Derived'!L24</x:f>
        <x:v>0.08191029892285226</x:v>
      </x:c>
      <x:c r="D23" s="92" t="n">
        <x:f>'Derived'!M24</x:f>
        <x:v>-0.06683665327691529</x:v>
      </x:c>
      <x:c r="E23" s="92" t="n">
        <x:f>'Derived'!N24</x:f>
        <x:v>0.10571866103432073</x:v>
      </x:c>
      <x:c r="F23" s="92" t="n">
        <x:f>'Derived'!P24</x:f>
        <x:v>0.23808970080944872</x:v>
      </x:c>
      <x:c r="G23" s="92" t="n">
        <x:f>'Derived'!Q24</x:f>
        <x:v>0.2472930323579526</x:v>
      </x:c>
      <x:c r="H23" s="92" t="n">
        <x:f>'Derived'!S24</x:f>
        <x:v>0.7440303156519529</x:v>
      </x:c>
      <x:c r="I23" s="92" t="n">
        <x:f>'Derived'!T24</x:f>
        <x:v>0.7727907267650873</x:v>
      </x:c>
      <x:c r="J23" s="92" t="n">
        <x:f>'Derived'!V24</x:f>
        <x:v>0.01807409285243341</x:v>
      </x:c>
      <x:c r="K23" s="92" t="n">
        <x:f>'Derived'!W24</x:f>
        <x:v>0.036413587368480396</x:v>
      </x:c>
      <x:c r="L23" s="92" t="n">
        <x:f>'Derived'!X24</x:f>
        <x:v>0.11842188307206358</x:v>
      </x:c>
      <x:c r="M23" s="93" t="n">
        <x:f>'Derived'!D24</x:f>
        <x:v>-109.65908287106069</x:v>
      </x:c>
      <x:c r="N23" s="93" t="n">
        <x:f>'Derived'!U24</x:f>
        <x:v>-39.213542066575194</x:v>
      </x:c>
      <x:c r="O23" s="93" t="n">
        <x:f>'Raw_CAD'!C24</x:f>
        <x:v>85.69516184019987</x:v>
      </x:c>
      <x:c r="P23" s="92" t="n">
        <x:f>'Derived'!AD24</x:f>
        <x:v>1.503987496161238e-15</x:v>
      </x:c>
      <x:c r="Q23" s="92" t="n">
        <x:f>'Derived'!AE24</x:f>
        <x:v>-2.676990296102133e-10</x:v>
      </x:c>
      <x:c r="R23" s="94" t="b">
        <x:f>'Derived'!AF24</x:f>
        <x:v>1</x:v>
      </x:c>
    </x:row>
    <x:row r="24">
      <x:c r="A24" s="92" t="n">
        <x:f>'Derived'!C25</x:f>
        <x:v>0.32999999961891374</x:v>
      </x:c>
      <x:c r="B24" s="92" t="n">
        <x:f>'Derived'!AC25</x:f>
        <x:v>1.6409073231960014</x:v>
      </x:c>
      <x:c r="C24" s="92" t="n">
        <x:f>'Derived'!L25</x:f>
        <x:v>0.08510385556925529</x:v>
      </x:c>
      <x:c r="D24" s="92" t="n">
        <x:f>'Derived'!M25</x:f>
        <x:v>-0.06484233316547611</x:v>
      </x:c>
      <x:c r="E24" s="92" t="n">
        <x:f>'Derived'!N25</x:f>
        <x:v>0.10699156229860028</x:v>
      </x:c>
      <x:c r="F24" s="92" t="n">
        <x:f>'Derived'!P25</x:f>
        <x:v>0.24489614404965845</x:v>
      </x:c>
      <x:c r="G24" s="92" t="n">
        <x:f>'Derived'!Q25</x:f>
        <x:v>0.25333505391227185</x:v>
      </x:c>
      <x:c r="H24" s="92" t="n">
        <x:f>'Derived'!S25</x:f>
        <x:v>0.7421095282802006</x:v>
      </x:c>
      <x:c r="I24" s="92" t="n">
        <x:f>'Derived'!T25</x:f>
        <x:v>0.7676819824388633</x:v>
      </x:c>
      <x:c r="J24" s="92" t="n">
        <x:f>'Derived'!V25</x:f>
        <x:v>0.018310900490541043</x:v>
      </x:c>
      <x:c r="K24" s="92" t="n">
        <x:f>'Derived'!W25</x:f>
        <x:v>0.03709468561662835</x:v>
      </x:c>
      <x:c r="L24" s="92" t="n">
        <x:f>'Derived'!X25</x:f>
        <x:v>0.12362211651476064</x:v>
      </x:c>
      <x:c r="M24" s="93" t="n">
        <x:f>'Derived'!D25</x:f>
        <x:v>-111.0745258383811</x:v>
      </x:c>
      <x:c r="N24" s="93" t="n">
        <x:f>'Derived'!U25</x:f>
        <x:v>-37.304502184583406</x:v>
      </x:c>
      <x:c r="O24" s="93" t="n">
        <x:f>'Raw_CAD'!C25</x:f>
        <x:v>89.11304609188207</x:v>
      </x:c>
      <x:c r="P24" s="92" t="n">
        <x:f>'Derived'!AD25</x:f>
        <x:v>1.4856410892412036e-15</x:v>
      </x:c>
      <x:c r="Q24" s="92" t="n">
        <x:f>'Derived'!AE25</x:f>
        <x:v>-3.8108627364863423e-10</x:v>
      </x:c>
      <x:c r="R24" s="94" t="b">
        <x:f>'Derived'!AF25</x:f>
        <x:v>1</x:v>
      </x:c>
    </x:row>
  </x:sheetData>
  <x:conditionalFormatting sqref="D2:D24">
    <x:cfRule type="colorScale" priority="1">
      <x:colorScale>
        <x:cfvo type="min"/>
        <x:cfvo type="percentile" val="50"/>
        <x:cfvo type="max"/>
        <x:color rgb="FFDBEAFE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b5d258c1bee47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6" t="str">
        <x:v>腿部 CAD 质量特性测量结果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</x:row>
    <x:row r="2">
      <x:c r="A2" s="98"/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</x:row>
    <x:row r="3">
      <x:c r="A3" s="30" t="str">
        <x:v>指标</x:v>
      </x:c>
      <x:c r="B3" s="30" t="str">
        <x:v>结果</x:v>
      </x:c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</x:row>
    <x:row r="4">
      <x:c r="A4" s="99" t="str">
        <x:v>最短腿长 m</x:v>
      </x:c>
      <x:c r="B4" s="92" t="n">
        <x:f>'Derived'!C2</x:f>
        <x:v>0.10576914099936059</x:v>
      </x:c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</x:row>
    <x:row r="5">
      <x:c r="A5" s="99" t="str">
        <x:v>最长稳定腿长 m</x:v>
      </x:c>
      <x:c r="B5" s="92" t="n">
        <x:f>'Derived'!C26</x:f>
        <x:v>0.3363372000058729</x:v>
      </x:c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</x:row>
    <x:row r="6">
      <x:c r="A6" s="99" t="str">
        <x:v>CAD单腿质量 kg</x:v>
      </x:c>
      <x:c r="B6" s="92" t="n">
        <x:f>AVERAGE('MCU_Lookup'!B2:B24)</x:f>
        <x:v>1.6409073231960014</x:v>
      </x:c>
      <x:c r="C6" s="98"/>
      <x:c r="D6" s="98"/>
      <x:c r="E6" s="98"/>
      <x:c r="F6" s="98"/>
      <x:c r="G6" s="98"/>
      <x:c r="H6" s="98"/>
      <x:c r="I6" s="98"/>
      <x:c r="J6" s="98"/>
      <x:c r="K6" s="98"/>
      <x:c r="L6" s="98"/>
      <x:c r="M6" s="98"/>
      <x:c r="N6" s="98"/>
      <x:c r="O6" s="98"/>
      <x:c r="P6" s="98"/>
    </x:row>
    <x:row r="7">
      <x:c r="A7" s="99" t="str">
        <x:v>相对MCU 2.3kg差值 kg</x:v>
      </x:c>
      <x:c r="B7" s="92" t="n">
        <x:f>B6-'Protocol'!B13</x:f>
        <x:v>-0.6590926768039984</x:v>
      </x:c>
      <x:c r="C7" s="98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  <x:c r="P7" s="98"/>
    </x:row>
    <x:row r="8">
      <x:c r="A8" s="99" t="str">
        <x:v>最大点2漂移 m</x:v>
      </x:c>
      <x:c r="B8" s="92" t="n">
        <x:f>MAX('Derived'!AD2:AD26)</x:f>
        <x:v>1.7625482001382995e-15</x:v>
      </x:c>
      <x:c r="C8" s="98"/>
      <x:c r="D8" s="98"/>
      <x:c r="E8" s="98"/>
      <x:c r="F8" s="98"/>
      <x:c r="G8" s="98"/>
      <x:c r="H8" s="98"/>
      <x:c r="I8" s="98"/>
      <x:c r="J8" s="98"/>
      <x:c r="K8" s="98"/>
      <x:c r="L8" s="98"/>
      <x:c r="M8" s="98"/>
      <x:c r="N8" s="98"/>
      <x:c r="O8" s="98"/>
      <x:c r="P8" s="98"/>
    </x:row>
    <x:row r="9">
      <x:c r="A9" s="99" t="str">
        <x:v>最大查表长度残差 m</x:v>
      </x:c>
      <x:c r="B9" s="92" t="n">
        <x:f>MAX(MAX('Derived'!AE2:AE26),-MIN('Derived'!AE2:AE26))</x:f>
        <x:v>9.915478849098491e-8</x:v>
      </x:c>
      <x:c r="C9" s="98"/>
      <x:c r="D9" s="98"/>
      <x:c r="E9" s="98"/>
      <x:c r="F9" s="98"/>
      <x:c r="G9" s="98"/>
      <x:c r="H9" s="98"/>
      <x:c r="I9" s="98"/>
      <x:c r="J9" s="98"/>
      <x:c r="K9" s="98"/>
      <x:c r="L9" s="98"/>
      <x:c r="M9" s="98"/>
      <x:c r="N9" s="98"/>
      <x:c r="O9" s="98"/>
      <x:c r="P9" s="98"/>
    </x:row>
    <x:row r="10">
      <x:c r="A10" s="98"/>
      <x:c r="B10" s="98"/>
      <x:c r="C10" s="98"/>
      <x:c r="D10" s="98"/>
      <x:c r="E10" s="98"/>
      <x:c r="F10" s="98"/>
      <x:c r="G10" s="98"/>
      <x:c r="H10" s="98"/>
      <x:c r="I10" s="98"/>
      <x:c r="J10" s="98"/>
      <x:c r="K10" s="98"/>
      <x:c r="L10" s="98"/>
      <x:c r="M10" s="98"/>
      <x:c r="N10" s="98"/>
      <x:c r="O10" s="98"/>
      <x:c r="P10" s="98"/>
    </x:row>
    <x:row r="11">
      <x:c r="A11" s="100" t="str">
        <x:v>结论</x:v>
      </x:c>
      <x:c r="B11" s="100"/>
      <x:c r="C11" s="100"/>
      <x:c r="D11" s="100"/>
      <x:c r="E11" s="100"/>
      <x:c r="F11" s="100"/>
      <x:c r="G11" s="98"/>
      <x:c r="H11" s="98"/>
      <x:c r="I11" s="98"/>
      <x:c r="J11" s="98"/>
      <x:c r="K11" s="98"/>
      <x:c r="L11" s="98"/>
      <x:c r="M11" s="98"/>
      <x:c r="N11" s="98"/>
      <x:c r="O11" s="98"/>
      <x:c r="P11" s="98"/>
    </x:row>
    <x:row r="12" ht="30" customHeight="1">
      <x:c r="A12" s="101" t="str">
        <x:v>质心法向偏置不可忽略：新的模型应同时使用轴向投影与法向偏置。</x:v>
      </x:c>
      <x:c r="B12" s="101"/>
      <x:c r="C12" s="101"/>
      <x:c r="D12" s="101"/>
      <x:c r="E12" s="101"/>
      <x:c r="F12" s="101"/>
      <x:c r="G12" s="98"/>
      <x:c r="H12" s="98"/>
      <x:c r="I12" s="98"/>
      <x:c r="J12" s="98"/>
      <x:c r="K12" s="98"/>
      <x:c r="L12" s="98"/>
      <x:c r="M12" s="98"/>
      <x:c r="N12" s="98"/>
      <x:c r="O12" s="98"/>
      <x:c r="P12" s="98"/>
    </x:row>
    <x:row r="13" ht="30" customHeight="1">
      <x:c r="A13" s="101" t="str">
        <x:v>I_pitch_com 随腿长变化，不能继续把腿部惯量视作严格常数。</x:v>
      </x:c>
      <x:c r="B13" s="101"/>
      <x:c r="C13" s="101"/>
      <x:c r="D13" s="101"/>
      <x:c r="E13" s="101"/>
      <x:c r="F13" s="101"/>
      <x:c r="G13" s="98"/>
      <x:c r="H13" s="98"/>
      <x:c r="I13" s="98"/>
      <x:c r="J13" s="98"/>
      <x:c r="K13" s="98"/>
      <x:c r="L13" s="98"/>
      <x:c r="M13" s="98"/>
      <x:c r="N13" s="98"/>
      <x:c r="O13" s="98"/>
      <x:c r="P13" s="98"/>
    </x:row>
    <x:row r="14" ht="30" customHeight="1">
      <x:c r="A14" s="101" t="str">
        <x:v>0.11–0.33 m 的 MCU 查表点全部收敛；0.34 m 需要调整方向约束或采用边界外推。</x:v>
      </x:c>
      <x:c r="B14" s="101"/>
      <x:c r="C14" s="101"/>
      <x:c r="D14" s="101"/>
      <x:c r="E14" s="101"/>
      <x:c r="F14" s="101"/>
      <x:c r="G14" s="98"/>
      <x:c r="H14" s="98"/>
      <x:c r="I14" s="98"/>
      <x:c r="J14" s="98"/>
      <x:c r="K14" s="98"/>
      <x:c r="L14" s="98"/>
      <x:c r="M14" s="98"/>
      <x:c r="N14" s="98"/>
      <x:c r="O14" s="98"/>
      <x:c r="P14" s="98"/>
    </x:row>
    <x:row r="15" ht="30" customHeight="1">
      <x:c r="A15" s="101" t="str">
        <x:v>当前 CAD 质量低于 MCU 参数，先核对装配体材料/缺件，再更新 LQR 与 LESO。</x:v>
      </x:c>
      <x:c r="B15" s="101"/>
      <x:c r="C15" s="101"/>
      <x:c r="D15" s="101"/>
      <x:c r="E15" s="101"/>
      <x:c r="F15" s="101"/>
      <x:c r="G15" s="98"/>
      <x:c r="H15" s="98"/>
      <x:c r="I15" s="98"/>
      <x:c r="J15" s="98"/>
      <x:c r="K15" s="98"/>
      <x:c r="L15" s="98"/>
      <x:c r="M15" s="98"/>
      <x:c r="N15" s="98"/>
      <x:c r="O15" s="98"/>
      <x:c r="P15" s="98"/>
    </x:row>
    <x:row r="16">
      <x:c r="A16" s="98"/>
      <x:c r="B16" s="98"/>
      <x:c r="C16" s="98"/>
      <x:c r="D16" s="98"/>
      <x:c r="E16" s="98"/>
      <x:c r="F16" s="98"/>
      <x:c r="G16" s="98"/>
      <x:c r="H16" s="98"/>
      <x:c r="I16" s="98"/>
      <x:c r="J16" s="98"/>
      <x:c r="K16" s="98"/>
      <x:c r="L16" s="98"/>
      <x:c r="M16" s="98"/>
      <x:c r="N16" s="98"/>
      <x:c r="O16" s="98"/>
      <x:c r="P16" s="98"/>
    </x:row>
    <x:row r="17">
      <x:c r="A17" s="98"/>
      <x:c r="B17" s="98"/>
      <x:c r="C17" s="98"/>
      <x:c r="D17" s="98"/>
      <x:c r="E17" s="98"/>
      <x:c r="F17" s="98"/>
      <x:c r="G17" s="98"/>
      <x:c r="H17" s="98"/>
      <x:c r="I17" s="98"/>
      <x:c r="J17" s="98"/>
      <x:c r="K17" s="98"/>
      <x:c r="L17" s="98"/>
      <x:c r="M17" s="98"/>
      <x:c r="N17" s="98"/>
      <x:c r="O17" s="98"/>
      <x:c r="P17" s="98"/>
    </x:row>
    <x:row r="18">
      <x:c r="A18" s="30" t="str">
        <x:v>l0_m</x:v>
      </x:c>
      <x:c r="B18" s="30" t="str">
        <x:v>com_parallel_upper_m</x:v>
      </x:c>
      <x:c r="C18" s="30" t="str">
        <x:v>com_normal_m</x:v>
      </x:c>
      <x:c r="D18" s="98"/>
      <x:c r="E18" s="30" t="str">
        <x:v>l0_m</x:v>
      </x:c>
      <x:c r="F18" s="30" t="str">
        <x:v>I_pitch_com_kg_m2</x:v>
      </x:c>
      <x:c r="G18" s="30" t="str">
        <x:v>I_pitch_upper_kg_m2</x:v>
      </x:c>
      <x:c r="H18" s="30" t="str">
        <x:v>I_pitch_wheel_kg_m2</x:v>
      </x:c>
      <x:c r="I18" s="98"/>
      <x:c r="J18" s="98"/>
      <x:c r="K18" s="98"/>
      <x:c r="L18" s="98"/>
      <x:c r="M18" s="98"/>
      <x:c r="N18" s="98"/>
      <x:c r="O18" s="98"/>
      <x:c r="P18" s="98"/>
    </x:row>
    <x:row r="19">
      <x:c r="A19" s="102" t="str">
        <x:f>TEXT('MCU_Lookup'!A2,"0.00")</x:f>
        <x:v>0.11</x:v>
      </x:c>
      <x:c r="B19" s="102" t="n">
        <x:f>'MCU_Lookup'!C2</x:f>
        <x:v>-0.0022234784221506886</x:v>
      </x:c>
      <x:c r="C19" s="102" t="n">
        <x:f>'MCU_Lookup'!D2</x:f>
        <x:v>-0.08671809053254188</x:v>
      </x:c>
      <x:c r="D19" s="102"/>
      <x:c r="E19" s="102" t="str">
        <x:f>TEXT('MCU_Lookup'!A2,"0.00")</x:f>
        <x:v>0.11</x:v>
      </x:c>
      <x:c r="F19" s="102" t="n">
        <x:f>'MCU_Lookup'!J2</x:f>
        <x:v>0.014673833551578483</x:v>
      </x:c>
      <x:c r="G19" s="102" t="n">
        <x:f>'MCU_Lookup'!K2</x:f>
        <x:v>0.02702161370671273</x:v>
      </x:c>
      <x:c r="H19" s="102" t="n">
        <x:f>'MCU_Lookup'!L2</x:f>
        <x:v>0.04767926658602542</x:v>
      </x:c>
      <x:c r="I19" s="98"/>
      <x:c r="J19" s="98"/>
      <x:c r="K19" s="98"/>
      <x:c r="L19" s="98"/>
      <x:c r="M19" s="98"/>
      <x:c r="N19" s="98"/>
      <x:c r="O19" s="98"/>
      <x:c r="P19" s="98"/>
    </x:row>
    <x:row r="20">
      <x:c r="A20" s="102" t="str">
        <x:f>TEXT('MCU_Lookup'!A3,"0.00")</x:f>
        <x:v>0.12</x:v>
      </x:c>
      <x:c r="B20" s="102" t="n">
        <x:f>'MCU_Lookup'!C3</x:f>
        <x:v>0.0037311769126700456</x:v>
      </x:c>
      <x:c r="C20" s="102" t="n">
        <x:f>'MCU_Lookup'!D3</x:f>
        <x:v>-0.08707361260080898</x:v>
      </x:c>
      <x:c r="D20" s="102"/>
      <x:c r="E20" s="102" t="str">
        <x:f>TEXT('MCU_Lookup'!A3,"0.00")</x:f>
        <x:v>0.12</x:v>
      </x:c>
      <x:c r="F20" s="102" t="n">
        <x:f>'MCU_Lookup'!J3</x:f>
        <x:v>0.014794529639208456</x:v>
      </x:c>
      <x:c r="G20" s="102" t="n">
        <x:f>'MCU_Lookup'!K3</x:f>
        <x:v>0.027258427962108388</x:v>
      </x:c>
      <x:c r="H20" s="102" t="n">
        <x:f>'MCU_Lookup'!L3</x:f>
        <x:v>0.049418060166627906</x:v>
      </x:c>
      <x:c r="I20" s="98"/>
      <x:c r="J20" s="98"/>
      <x:c r="K20" s="98"/>
      <x:c r="L20" s="98"/>
      <x:c r="M20" s="98"/>
      <x:c r="N20" s="98"/>
      <x:c r="O20" s="98"/>
      <x:c r="P20" s="98"/>
    </x:row>
    <x:row r="21">
      <x:c r="A21" s="102" t="str">
        <x:f>TEXT('MCU_Lookup'!A4,"0.00")</x:f>
        <x:v>0.13</x:v>
      </x:c>
      <x:c r="B21" s="102" t="n">
        <x:f>'MCU_Lookup'!C4</x:f>
        <x:v>0.009212570023955563</x:v>
      </x:c>
      <x:c r="C21" s="102" t="n">
        <x:f>'MCU_Lookup'!D4</x:f>
        <x:v>-0.0871554407103998</x:v>
      </x:c>
      <x:c r="D21" s="102"/>
      <x:c r="E21" s="102" t="str">
        <x:f>TEXT('MCU_Lookup'!A4,"0.00")</x:f>
        <x:v>0.13</x:v>
      </x:c>
      <x:c r="F21" s="102" t="n">
        <x:f>'MCU_Lookup'!J4</x:f>
        <x:v>0.01491241778378724</x:v>
      </x:c>
      <x:c r="G21" s="102" t="n">
        <x:f>'MCU_Lookup'!K4</x:f>
        <x:v>0.02751613223956309</x:v>
      </x:c>
      <x:c r="H21" s="102" t="n">
        <x:f>'MCU_Lookup'!L4</x:f>
        <x:v>0.05131704744068097</x:v>
      </x:c>
      <x:c r="I21" s="98"/>
      <x:c r="J21" s="98"/>
      <x:c r="K21" s="98"/>
      <x:c r="L21" s="98"/>
      <x:c r="M21" s="98"/>
      <x:c r="N21" s="98"/>
      <x:c r="O21" s="98"/>
      <x:c r="P21" s="98"/>
    </x:row>
    <x:row r="22">
      <x:c r="A22" s="102" t="str">
        <x:f>TEXT('MCU_Lookup'!A5,"0.00")</x:f>
        <x:v>0.14</x:v>
      </x:c>
      <x:c r="B22" s="102" t="n">
        <x:f>'MCU_Lookup'!C5</x:f>
        <x:v>0.014321404542541227</x:v>
      </x:c>
      <x:c r="C22" s="102" t="n">
        <x:f>'MCU_Lookup'!D5</x:f>
        <x:v>-0.08702737065371526</x:v>
      </x:c>
      <x:c r="D22" s="102"/>
      <x:c r="E22" s="102" t="str">
        <x:f>TEXT('MCU_Lookup'!A5,"0.00")</x:f>
        <x:v>0.14</x:v>
      </x:c>
      <x:c r="F22" s="102" t="n">
        <x:f>'MCU_Lookup'!J5</x:f>
        <x:v>0.015030340321921477</x:v>
      </x:c>
      <x:c r="G22" s="102" t="n">
        <x:f>'MCU_Lookup'!K5</x:f>
        <x:v>0.027794738295756016</x:v>
      </x:c>
      <x:c r="H22" s="102" t="n">
        <x:f>'MCU_Lookup'!L5</x:f>
        <x:v>0.05337649463420909</x:v>
      </x:c>
      <x:c r="I22" s="98"/>
      <x:c r="J22" s="98"/>
      <x:c r="K22" s="98"/>
      <x:c r="L22" s="98"/>
      <x:c r="M22" s="98"/>
      <x:c r="N22" s="98"/>
      <x:c r="O22" s="98"/>
      <x:c r="P22" s="98"/>
    </x:row>
    <x:row r="23">
      <x:c r="A23" s="102" t="str">
        <x:f>TEXT('MCU_Lookup'!A6,"0.00")</x:f>
        <x:v>0.15</x:v>
      </x:c>
      <x:c r="B23" s="102" t="n">
        <x:f>'MCU_Lookup'!C6</x:f>
        <x:v>0.019131471156139206</x:v>
      </x:c>
      <x:c r="C23" s="102" t="n">
        <x:f>'MCU_Lookup'!D6</x:f>
        <x:v>-0.08673142260676014</x:v>
      </x:c>
      <x:c r="D23" s="102"/>
      <x:c r="E23" s="102" t="str">
        <x:f>TEXT('MCU_Lookup'!A6,"0.00")</x:f>
        <x:v>0.15</x:v>
      </x:c>
      <x:c r="F23" s="102" t="n">
        <x:f>'MCU_Lookup'!J6</x:f>
        <x:v>0.015150209936832078</x:v>
      </x:c>
      <x:c r="G23" s="102" t="n">
        <x:f>'MCU_Lookup'!K6</x:f>
        <x:v>0.028094265906181165</x:v>
      </x:c>
      <x:c r="H23" s="102" t="n">
        <x:f>'MCU_Lookup'!L6</x:f>
        <x:v>0.05559678516361062</x:v>
      </x:c>
      <x:c r="I23" s="98"/>
      <x:c r="J23" s="98"/>
      <x:c r="K23" s="98"/>
      <x:c r="L23" s="98"/>
      <x:c r="M23" s="98"/>
      <x:c r="N23" s="98"/>
      <x:c r="O23" s="98"/>
      <x:c r="P23" s="98"/>
    </x:row>
    <x:row r="24">
      <x:c r="A24" s="102" t="str">
        <x:f>TEXT('MCU_Lookup'!A7,"0.00")</x:f>
        <x:v>0.16</x:v>
      </x:c>
      <x:c r="B24" s="102" t="n">
        <x:f>'MCU_Lookup'!C7</x:f>
        <x:v>0.023698014483617205</x:v>
      </x:c>
      <x:c r="C24" s="102" t="n">
        <x:f>'MCU_Lookup'!D7</x:f>
        <x:v>-0.08629606035713873</x:v>
      </x:c>
      <x:c r="D24" s="102"/>
      <x:c r="E24" s="102" t="str">
        <x:f>TEXT('MCU_Lookup'!A7,"0.00")</x:f>
        <x:v>0.16</x:v>
      </x:c>
      <x:c r="F24" s="102" t="n">
        <x:f>'MCU_Lookup'!J7</x:f>
        <x:v>0.015273356793650897</x:v>
      </x:c>
      <x:c r="G24" s="102" t="n">
        <x:f>'MCU_Lookup'!K7</x:f>
        <x:v>0.02841473690232404</x:v>
      </x:c>
      <x:c r="H24" s="102" t="n">
        <x:f>'MCU_Lookup'!L7</x:f>
        <x:v>0.05797835124104535</x:v>
      </x:c>
      <x:c r="I24" s="98"/>
      <x:c r="J24" s="98"/>
      <x:c r="K24" s="98"/>
      <x:c r="L24" s="98"/>
      <x:c r="M24" s="98"/>
      <x:c r="N24" s="98"/>
      <x:c r="O24" s="98"/>
      <x:c r="P24" s="98"/>
    </x:row>
    <x:row r="25">
      <x:c r="A25" s="102" t="str">
        <x:f>TEXT('MCU_Lookup'!A8,"0.00")</x:f>
        <x:v>0.17</x:v>
      </x:c>
      <x:c r="B25" s="102" t="n">
        <x:f>'MCU_Lookup'!C8</x:f>
        <x:v>0.028063223150849356</x:v>
      </x:c>
      <x:c r="C25" s="102" t="n">
        <x:f>'MCU_Lookup'!D8</x:f>
        <x:v>-0.08574097028860407</x:v>
      </x:c>
      <x:c r="D25" s="102"/>
      <x:c r="E25" s="102" t="str">
        <x:f>TEXT('MCU_Lookup'!A8,"0.00")</x:f>
        <x:v>0.17</x:v>
      </x:c>
      <x:c r="F25" s="102" t="n">
        <x:f>'MCU_Lookup'!J8</x:f>
        <x:v>0.015400734225484486</x:v>
      </x:c>
      <x:c r="G25" s="102" t="n">
        <x:f>'MCU_Lookup'!K8</x:f>
        <x:v>0.028756174888655547</x:v>
      </x:c>
      <x:c r="H25" s="102" t="n">
        <x:f>'MCU_Lookup'!L8</x:f>
        <x:v>0.06052165667276271</x:v>
      </x:c>
      <x:c r="I25" s="98"/>
      <x:c r="J25" s="98"/>
      <x:c r="K25" s="98"/>
      <x:c r="L25" s="98"/>
      <x:c r="M25" s="98"/>
      <x:c r="N25" s="98"/>
      <x:c r="O25" s="98"/>
      <x:c r="P25" s="98"/>
    </x:row>
    <x:row r="26">
      <x:c r="A26" s="102" t="str">
        <x:f>TEXT('MCU_Lookup'!A9,"0.00")</x:f>
        <x:v>0.18</x:v>
      </x:c>
      <x:c r="B26" s="102" t="n">
        <x:f>'MCU_Lookup'!C9</x:f>
        <x:v>0.03225987729385031</x:v>
      </x:c>
      <x:c r="C26" s="102" t="n">
        <x:f>'MCU_Lookup'!D9</x:f>
        <x:v>-0.0850799522310659</x:v>
      </x:c>
      <x:c r="D26" s="102"/>
      <x:c r="E26" s="102" t="str">
        <x:f>TEXT('MCU_Lookup'!A9,"0.00")</x:f>
        <x:v>0.18</x:v>
      </x:c>
      <x:c r="F26" s="102" t="n">
        <x:f>'MCU_Lookup'!J9</x:f>
        <x:v>0.01553304434795158</x:v>
      </x:c>
      <x:c r="G26" s="102" t="n">
        <x:f>'MCU_Lookup'!K9</x:f>
        <x:v>0.029118604992666216</x:v>
      </x:c>
      <x:c r="H26" s="102" t="n">
        <x:f>'MCU_Lookup'!L9</x:f>
        <x:v>0.06322718538559054</x:v>
      </x:c>
      <x:c r="I26" s="98"/>
      <x:c r="J26" s="98"/>
      <x:c r="K26" s="98"/>
      <x:c r="L26" s="98"/>
      <x:c r="M26" s="98"/>
      <x:c r="N26" s="98"/>
      <x:c r="O26" s="98"/>
      <x:c r="P26" s="98"/>
    </x:row>
    <x:row r="27">
      <x:c r="A27" s="102" t="str">
        <x:f>TEXT('MCU_Lookup'!A10,"0.00")</x:f>
        <x:v>0.19</x:v>
      </x:c>
      <x:c r="B27" s="102" t="n">
        <x:f>'MCU_Lookup'!C10</x:f>
        <x:v>0.036313893202207</x:v>
      </x:c>
      <x:c r="C27" s="102" t="n">
        <x:f>'MCU_Lookup'!D10</x:f>
        <x:v>-0.08432271733625801</x:v>
      </x:c>
      <x:c r="D27" s="102"/>
      <x:c r="E27" s="102" t="str">
        <x:f>TEXT('MCU_Lookup'!A10,"0.00")</x:f>
        <x:v>0.19</x:v>
      </x:c>
      <x:c r="F27" s="102" t="n">
        <x:f>'MCU_Lookup'!J10</x:f>
        <x:v>0.015670819349413345</x:v>
      </x:c>
      <x:c r="G27" s="102" t="n">
        <x:f>'MCU_Lookup'!K10</x:f>
        <x:v>0.02950205917181755</x:v>
      </x:c>
      <x:c r="H27" s="102" t="n">
        <x:f>'MCU_Lookup'!L10</x:f>
        <x:v>0.06609547488823712</x:v>
      </x:c>
      <x:c r="I27" s="98"/>
      <x:c r="J27" s="98"/>
      <x:c r="K27" s="98"/>
      <x:c r="L27" s="98"/>
      <x:c r="M27" s="98"/>
      <x:c r="N27" s="98"/>
      <x:c r="O27" s="98"/>
      <x:c r="P27" s="98"/>
    </x:row>
    <x:row r="28">
      <x:c r="A28" s="102" t="str">
        <x:f>TEXT('MCU_Lookup'!A11,"0.00")</x:f>
        <x:v>0.20</x:v>
      </x:c>
      <x:c r="B28" s="102" t="n">
        <x:f>'MCU_Lookup'!C11</x:f>
        <x:v>0.04024585424547518</x:v>
      </x:c>
      <x:c r="C28" s="102" t="n">
        <x:f>'MCU_Lookup'!D11</x:f>
        <x:v>-0.08347609184317727</x:v>
      </x:c>
      <x:c r="D28" s="102"/>
      <x:c r="E28" s="102" t="str">
        <x:f>TEXT('MCU_Lookup'!A11,"0.00")</x:f>
        <x:v>0.20</x:v>
      </x:c>
      <x:c r="F28" s="102" t="n">
        <x:f>'MCU_Lookup'!J11</x:f>
        <x:v>0.015814465936028775</x:v>
      </x:c>
      <x:c r="G28" s="102" t="n">
        <x:f>'MCU_Lookup'!K11</x:f>
        <x:v>0.029906556192670707</x:v>
      </x:c>
      <x:c r="H28" s="102" t="n">
        <x:f>'MCU_Lookup'!L11</x:f>
        <x:v>0.06912696233477411</x:v>
      </x:c>
      <x:c r="I28" s="98"/>
      <x:c r="J28" s="98"/>
      <x:c r="K28" s="98"/>
      <x:c r="L28" s="98"/>
      <x:c r="M28" s="98"/>
      <x:c r="N28" s="98"/>
      <x:c r="O28" s="98"/>
      <x:c r="P28" s="98"/>
    </x:row>
    <x:row r="29">
      <x:c r="A29" s="102" t="str">
        <x:f>TEXT('MCU_Lookup'!A12,"0.00")</x:f>
        <x:v>0.21</x:v>
      </x:c>
      <x:c r="B29" s="102" t="n">
        <x:f>'MCU_Lookup'!C12</x:f>
        <x:v>0.04407253780133136</x:v>
      </x:c>
      <x:c r="C29" s="102" t="n">
        <x:f>'MCU_Lookup'!D12</x:f>
        <x:v>-0.08254473001056813</x:v>
      </x:c>
      <x:c r="D29" s="102"/>
      <x:c r="E29" s="102" t="str">
        <x:f>TEXT('MCU_Lookup'!A12,"0.00")</x:f>
        <x:v>0.21</x:v>
      </x:c>
      <x:c r="F29" s="102" t="n">
        <x:f>'MCU_Lookup'!J12</x:f>
        <x:v>0.015964309404712194</x:v>
      </x:c>
      <x:c r="G29" s="102" t="n">
        <x:f>'MCU_Lookup'!K12</x:f>
        <x:v>0.030332128452565638</x:v>
      </x:c>
      <x:c r="H29" s="102" t="n">
        <x:f>'MCU_Lookup'!L12</x:f>
        <x:v>0.07232218238977656</x:v>
      </x:c>
      <x:c r="I29" s="98"/>
      <x:c r="J29" s="98"/>
      <x:c r="K29" s="98"/>
      <x:c r="L29" s="98"/>
      <x:c r="M29" s="98"/>
      <x:c r="N29" s="98"/>
      <x:c r="O29" s="98"/>
      <x:c r="P29" s="98"/>
    </x:row>
    <x:row r="30">
      <x:c r="A30" s="102" t="str">
        <x:f>TEXT('MCU_Lookup'!A13,"0.00")</x:f>
        <x:v>0.22</x:v>
      </x:c>
      <x:c r="B30" s="102" t="n">
        <x:f>'MCU_Lookup'!C13</x:f>
        <x:v>0.047807637044325</x:v>
      </x:c>
      <x:c r="C30" s="102" t="n">
        <x:f>'MCU_Lookup'!D13</x:f>
        <x:v>-0.08153165719066027</x:v>
      </x:c>
      <x:c r="D30" s="102"/>
      <x:c r="E30" s="102" t="str">
        <x:f>TEXT('MCU_Lookup'!A13,"0.00")</x:f>
        <x:v>0.22</x:v>
      </x:c>
      <x:c r="F30" s="102" t="n">
        <x:f>'MCU_Lookup'!J13</x:f>
        <x:v>0.016120611219069762</x:v>
      </x:c>
      <x:c r="G30" s="102" t="n">
        <x:f>'MCU_Lookup'!K13</x:f>
        <x:v>0.0307788056259865</x:v>
      </x:c>
      <x:c r="H30" s="102" t="n">
        <x:f>'MCU_Lookup'!L13</x:f>
        <x:v>0.07568164330220942</x:v>
      </x:c>
      <x:c r="I30" s="98"/>
      <x:c r="J30" s="98"/>
      <x:c r="K30" s="98"/>
      <x:c r="L30" s="98"/>
      <x:c r="M30" s="98"/>
      <x:c r="N30" s="98"/>
      <x:c r="O30" s="98"/>
      <x:c r="P30" s="98"/>
    </x:row>
    <x:row r="31">
      <x:c r="A31" s="102" t="str">
        <x:f>TEXT('MCU_Lookup'!A14,"0.00")</x:f>
        <x:v>0.23</x:v>
      </x:c>
      <x:c r="B31" s="102" t="n">
        <x:f>'MCU_Lookup'!C14</x:f>
        <x:v>0.05146246507654793</x:v>
      </x:c>
      <x:c r="C31" s="102" t="n">
        <x:f>'MCU_Lookup'!D14</x:f>
        <x:v>-0.08043860737497364</x:v>
      </x:c>
      <x:c r="D31" s="102"/>
      <x:c r="E31" s="102" t="str">
        <x:f>TEXT('MCU_Lookup'!A14,"0.00")</x:f>
        <x:v>0.23</x:v>
      </x:c>
      <x:c r="F31" s="102" t="n">
        <x:f>'MCU_Lookup'!J14</x:f>
        <x:v>0.016283586670691016</x:v>
      </x:c>
      <x:c r="G31" s="102" t="n">
        <x:f>'MCU_Lookup'!K14</x:f>
        <x:v>0.0312466183123169</x:v>
      </x:c>
      <x:c r="H31" s="102" t="n">
        <x:f>'MCU_Lookup'!L14</x:f>
        <x:v>0.07920585322746808</x:v>
      </x:c>
      <x:c r="I31" s="98"/>
      <x:c r="J31" s="98"/>
      <x:c r="K31" s="98"/>
      <x:c r="L31" s="98"/>
      <x:c r="M31" s="98"/>
      <x:c r="N31" s="98"/>
      <x:c r="O31" s="98"/>
      <x:c r="P31" s="98"/>
    </x:row>
    <x:row r="32">
      <x:c r="A32" s="102" t="str">
        <x:f>TEXT('MCU_Lookup'!A15,"0.00")</x:f>
        <x:v>0.24</x:v>
      </x:c>
      <x:c r="B32" s="102" t="n">
        <x:f>'MCU_Lookup'!C15</x:f>
        <x:v>0.055046451349278464</x:v>
      </x:c>
      <x:c r="C32" s="102" t="n">
        <x:f>'MCU_Lookup'!D15</x:f>
        <x:v>-0.0792662542855619</x:v>
      </x:c>
      <x:c r="D32" s="102"/>
      <x:c r="E32" s="102" t="str">
        <x:f>TEXT('MCU_Lookup'!A15,"0.00")</x:f>
        <x:v>0.24</x:v>
      </x:c>
      <x:c r="F32" s="102" t="n">
        <x:f>'MCU_Lookup'!J15</x:f>
        <x:v>0.01645341645831665</x:v>
      </x:c>
      <x:c r="G32" s="102" t="n">
        <x:f>'MCU_Lookup'!K15</x:f>
        <x:v>0.031735598021228786</x:v>
      </x:c>
      <x:c r="H32" s="102" t="n">
        <x:f>'MCU_Lookup'!L15</x:f>
        <x:v>0.08289531976126151</x:v>
      </x:c>
      <x:c r="I32" s="98"/>
      <x:c r="J32" s="98"/>
      <x:c r="K32" s="98"/>
      <x:c r="L32" s="98"/>
      <x:c r="M32" s="98"/>
      <x:c r="N32" s="98"/>
      <x:c r="O32" s="98"/>
      <x:c r="P32" s="98"/>
    </x:row>
    <x:row r="33">
      <x:c r="A33" s="102" t="str">
        <x:f>TEXT('MCU_Lookup'!A16,"0.00")</x:f>
        <x:v>0.25</x:v>
      </x:c>
      <x:c r="B33" s="102" t="n">
        <x:f>'MCU_Lookup'!C16</x:f>
        <x:v>0.05856751808657179</x:v>
      </x:c>
      <x:c r="C33" s="102" t="n">
        <x:f>'MCU_Lookup'!D16</x:f>
        <x:v>-0.07801436254672514</x:v>
      </x:c>
      <x:c r="D33" s="102"/>
      <x:c r="E33" s="102" t="str">
        <x:f>TEXT('MCU_Lookup'!A16,"0.00")</x:f>
        <x:v>0.25</x:v>
      </x:c>
      <x:c r="F33" s="102" t="n">
        <x:f>'MCU_Lookup'!J16</x:f>
        <x:v>0.016630255049486176</x:v>
      </x:c>
      <x:c r="G33" s="102" t="n">
        <x:f>'MCU_Lookup'!K16</x:f>
        <x:v>0.03224577719432026</x:v>
      </x:c>
      <x:c r="H33" s="102" t="n">
        <x:f>'MCU_Lookup'!L16</x:f>
        <x:v>0.08675055021273954</x:v>
      </x:c>
      <x:c r="I33" s="98"/>
      <x:c r="J33" s="98"/>
      <x:c r="K33" s="98"/>
      <x:c r="L33" s="98"/>
      <x:c r="M33" s="98"/>
      <x:c r="N33" s="98"/>
      <x:c r="O33" s="98"/>
      <x:c r="P33" s="98"/>
    </x:row>
    <x:row r="34">
      <x:c r="A34" s="102" t="str">
        <x:f>TEXT('MCU_Lookup'!A17,"0.00")</x:f>
        <x:v>0.26</x:v>
      </x:c>
      <x:c r="B34" s="102" t="n">
        <x:f>'MCU_Lookup'!C17</x:f>
        <x:v>0.062032369081880714</x:v>
      </x:c>
      <x:c r="C34" s="102" t="n">
        <x:f>'MCU_Lookup'!D17</x:f>
        <x:v>-0.07668188004039024</x:v>
      </x:c>
      <x:c r="D34" s="102"/>
      <x:c r="E34" s="102" t="str">
        <x:f>TEXT('MCU_Lookup'!A17,"0.00")</x:f>
        <x:v>0.26</x:v>
      </x:c>
      <x:c r="F34" s="102" t="n">
        <x:f>'MCU_Lookup'!J17</x:f>
        <x:v>0.016814236825113023</x:v>
      </x:c>
      <x:c r="G34" s="102" t="n">
        <x:f>'MCU_Lookup'!K17</x:f>
        <x:v>0.03277718926539021</x:v>
      </x:c>
      <x:c r="H34" s="102" t="n">
        <x:f>'MCU_Lookup'!L17</x:f>
        <x:v>0.0907720525647123</x:v>
      </x:c>
      <x:c r="I34" s="98"/>
      <x:c r="J34" s="98"/>
      <x:c r="K34" s="98"/>
      <x:c r="L34" s="98"/>
      <x:c r="M34" s="98"/>
      <x:c r="N34" s="98"/>
      <x:c r="O34" s="98"/>
      <x:c r="P34" s="98"/>
    </x:row>
    <x:row r="35">
      <x:c r="A35" s="102" t="str">
        <x:f>TEXT('MCU_Lookup'!A18,"0.00")</x:f>
        <x:v>0.27</x:v>
      </x:c>
      <x:c r="B35" s="102" t="n">
        <x:f>'MCU_Lookup'!C18</x:f>
        <x:v>0.06544671360012103</x:v>
      </x:c>
      <x:c r="C35" s="102" t="n">
        <x:f>'MCU_Lookup'!D18</x:f>
        <x:v>-0.07526698444664466</x:v>
      </x:c>
      <x:c r="D35" s="102"/>
      <x:c r="E35" s="102" t="str">
        <x:f>TEXT('MCU_Lookup'!A18,"0.00")</x:f>
        <x:v>0.27</x:v>
      </x:c>
      <x:c r="F35" s="102" t="n">
        <x:f>'MCU_Lookup'!J18</x:f>
        <x:v>0.017005480676546943</x:v>
      </x:c>
      <x:c r="G35" s="102" t="n">
        <x:f>'MCU_Lookup'!K18</x:f>
        <x:v>0.03332986876345423</x:v>
      </x:c>
      <x:c r="H35" s="102" t="n">
        <x:f>'MCU_Lookup'!L18</x:f>
        <x:v>0.09496033711237463</x:v>
      </x:c>
      <x:c r="I35" s="98"/>
      <x:c r="J35" s="98"/>
      <x:c r="K35" s="98"/>
      <x:c r="L35" s="98"/>
      <x:c r="M35" s="98"/>
      <x:c r="N35" s="98"/>
      <x:c r="O35" s="98"/>
      <x:c r="P35" s="98"/>
    </x:row>
    <x:row r="36">
      <x:c r="A36" s="102" t="str">
        <x:f>TEXT('MCU_Lookup'!A19,"0.00")</x:f>
        <x:v>0.28</x:v>
      </x:c>
      <x:c r="B36" s="102" t="n">
        <x:f>'MCU_Lookup'!C19</x:f>
        <x:v>0.06881544157957542</x:v>
      </x:c>
      <x:c r="C36" s="102" t="n">
        <x:f>'MCU_Lookup'!D19</x:f>
        <x:v>-0.07376709140268298</x:v>
      </x:c>
      <x:c r="D36" s="102"/>
      <x:c r="E36" s="102" t="str">
        <x:f>TEXT('MCU_Lookup'!A19,"0.00")</x:f>
        <x:v>0.28</x:v>
      </x:c>
      <x:c r="F36" s="102" t="n">
        <x:f>'MCU_Lookup'!J19</x:f>
        <x:v>0.017204093512527097</x:v>
      </x:c>
      <x:c r="G36" s="102" t="n">
        <x:f>'MCU_Lookup'!K19</x:f>
        <x:v>0.03390385146471687</x:v>
      </x:c>
      <x:c r="H36" s="102" t="n">
        <x:f>'MCU_Lookup'!L19</x:f>
        <x:v>0.09931591881360664</x:v>
      </x:c>
      <x:c r="I36" s="98"/>
      <x:c r="J36" s="98"/>
      <x:c r="K36" s="98"/>
      <x:c r="L36" s="98"/>
      <x:c r="M36" s="98"/>
      <x:c r="N36" s="98"/>
      <x:c r="O36" s="98"/>
      <x:c r="P36" s="98"/>
    </x:row>
    <x:row r="37">
      <x:c r="A37" s="102" t="str">
        <x:f>TEXT('MCU_Lookup'!A20,"0.00")</x:f>
        <x:v>0.29</x:v>
      </x:c>
      <x:c r="B37" s="102" t="n">
        <x:f>'MCU_Lookup'!C20</x:f>
        <x:v>0.07214276181544664</x:v>
      </x:c>
      <x:c r="C37" s="102" t="n">
        <x:f>'MCU_Lookup'!D20</x:f>
        <x:v>-0.07217882755124869</x:v>
      </x:c>
      <x:c r="D37" s="102"/>
      <x:c r="E37" s="102" t="str">
        <x:f>TEXT('MCU_Lookup'!A20,"0.00")</x:f>
        <x:v>0.29</x:v>
      </x:c>
      <x:c r="F37" s="102" t="n">
        <x:f>'MCU_Lookup'!J20</x:f>
        <x:v>0.017410172995361694</x:v>
      </x:c>
      <x:c r="G37" s="102" t="n">
        <x:f>'MCU_Lookup'!K20</x:f>
        <x:v>0.03449917460249072</x:v>
      </x:c>
      <x:c r="H37" s="102" t="n">
        <x:f>'MCU_Lookup'!L20</x:f>
        <x:v>0.10383932042966391</x:v>
      </x:c>
      <x:c r="I37" s="98"/>
      <x:c r="J37" s="98"/>
      <x:c r="K37" s="98"/>
      <x:c r="L37" s="98"/>
      <x:c r="M37" s="98"/>
      <x:c r="N37" s="98"/>
      <x:c r="O37" s="98"/>
      <x:c r="P37" s="98"/>
    </x:row>
    <x:row r="38">
      <x:c r="A38" s="102" t="str">
        <x:f>TEXT('MCU_Lookup'!A21,"0.00")</x:f>
        <x:v>0.30</x:v>
      </x:c>
      <x:c r="B38" s="102" t="n">
        <x:f>'MCU_Lookup'!C21</x:f>
        <x:v>0.07543231163861998</x:v>
      </x:c>
      <x:c r="C38" s="102" t="n">
        <x:f>'MCU_Lookup'!D21</x:f>
        <x:v>-0.07049796823714752</x:v>
      </x:c>
      <x:c r="D38" s="102"/>
      <x:c r="E38" s="102" t="str">
        <x:f>TEXT('MCU_Lookup'!A21,"0.00")</x:f>
        <x:v>0.30</x:v>
      </x:c>
      <x:c r="F38" s="102" t="n">
        <x:f>'MCU_Lookup'!J21</x:f>
        <x:v>0.01762380973505946</x:v>
      </x:c>
      <x:c r="G38" s="102" t="n">
        <x:f>'MCU_Lookup'!K21</x:f>
        <x:v>0.03511587714788357</x:v>
      </x:c>
      <x:c r="H38" s="102" t="n">
        <x:f>'MCU_Lookup'!L21</x:f>
        <x:v>0.10853107659116419</x:v>
      </x:c>
      <x:c r="I38" s="98"/>
      <x:c r="J38" s="98"/>
      <x:c r="K38" s="98"/>
      <x:c r="L38" s="98"/>
      <x:c r="M38" s="98"/>
      <x:c r="N38" s="98"/>
      <x:c r="O38" s="98"/>
      <x:c r="P38" s="98"/>
    </x:row>
    <x:row r="39">
      <x:c r="A39" s="102" t="str">
        <x:f>TEXT('MCU_Lookup'!A22,"0.00")</x:f>
        <x:v>0.31</x:v>
      </x:c>
      <x:c r="B39" s="102" t="n">
        <x:f>'MCU_Lookup'!C22</x:f>
        <x:v>0.07868724433828353</x:v>
      </x:c>
      <x:c r="C39" s="102" t="n">
        <x:f>'MCU_Lookup'!D22</x:f>
        <x:v>-0.06871933615529788</x:v>
      </x:c>
      <x:c r="D39" s="102"/>
      <x:c r="E39" s="102" t="str">
        <x:f>TEXT('MCU_Lookup'!A22,"0.00")</x:f>
        <x:v>0.31</x:v>
      </x:c>
      <x:c r="F39" s="102" t="n">
        <x:f>'MCU_Lookup'!J22</x:f>
        <x:v>0.017845089110902733</x:v>
      </x:c>
      <x:c r="G39" s="102" t="n">
        <x:f>'MCU_Lookup'!K22</x:f>
        <x:v>0.035754000179516604</x:v>
      </x:c>
      <x:c r="H39" s="102" t="n">
        <x:f>'MCU_Lookup'!L22</x:f>
        <x:v>0.11339173899871682</x:v>
      </x:c>
      <x:c r="I39" s="98"/>
      <x:c r="J39" s="98"/>
      <x:c r="K39" s="98"/>
      <x:c r="L39" s="98"/>
      <x:c r="M39" s="98"/>
      <x:c r="N39" s="98"/>
      <x:c r="O39" s="98"/>
      <x:c r="P39" s="98"/>
    </x:row>
    <x:row r="40">
      <x:c r="A40" s="102" t="str">
        <x:f>TEXT('MCU_Lookup'!A23,"0.00")</x:f>
        <x:v>0.32</x:v>
      </x:c>
      <x:c r="B40" s="102" t="n">
        <x:f>'MCU_Lookup'!C23</x:f>
        <x:v>0.08191029892285226</x:v>
      </x:c>
      <x:c r="C40" s="102" t="n">
        <x:f>'MCU_Lookup'!D23</x:f>
        <x:v>-0.06683665327691529</x:v>
      </x:c>
      <x:c r="D40" s="102"/>
      <x:c r="E40" s="102" t="str">
        <x:f>TEXT('MCU_Lookup'!A23,"0.00")</x:f>
        <x:v>0.32</x:v>
      </x:c>
      <x:c r="F40" s="102" t="n">
        <x:f>'MCU_Lookup'!J23</x:f>
        <x:v>0.01807409285243341</x:v>
      </x:c>
      <x:c r="G40" s="102" t="n">
        <x:f>'MCU_Lookup'!K23</x:f>
        <x:v>0.036413587368480396</x:v>
      </x:c>
      <x:c r="H40" s="102" t="n">
        <x:f>'MCU_Lookup'!L23</x:f>
        <x:v>0.11842188307206358</x:v>
      </x:c>
      <x:c r="I40" s="98"/>
      <x:c r="J40" s="98"/>
      <x:c r="K40" s="98"/>
      <x:c r="L40" s="98"/>
      <x:c r="M40" s="98"/>
      <x:c r="N40" s="98"/>
      <x:c r="O40" s="98"/>
      <x:c r="P40" s="98"/>
    </x:row>
    <x:row r="41">
      <x:c r="A41" s="102" t="str">
        <x:f>TEXT('MCU_Lookup'!A24,"0.00")</x:f>
        <x:v>0.33</x:v>
      </x:c>
      <x:c r="B41" s="102" t="n">
        <x:f>'MCU_Lookup'!C24</x:f>
        <x:v>0.08510385556925529</x:v>
      </x:c>
      <x:c r="C41" s="102" t="n">
        <x:f>'MCU_Lookup'!D24</x:f>
        <x:v>-0.06484233316547611</x:v>
      </x:c>
      <x:c r="D41" s="102"/>
      <x:c r="E41" s="102" t="str">
        <x:f>TEXT('MCU_Lookup'!A24,"0.00")</x:f>
        <x:v>0.33</x:v>
      </x:c>
      <x:c r="F41" s="102" t="n">
        <x:f>'MCU_Lookup'!J24</x:f>
        <x:v>0.018310900490541043</x:v>
      </x:c>
      <x:c r="G41" s="102" t="n">
        <x:f>'MCU_Lookup'!K24</x:f>
        <x:v>0.03709468561662835</x:v>
      </x:c>
      <x:c r="H41" s="102" t="n">
        <x:f>'MCU_Lookup'!L24</x:f>
        <x:v>0.12362211651476064</x:v>
      </x:c>
      <x:c r="I41" s="98"/>
      <x:c r="J41" s="98"/>
      <x:c r="K41" s="98"/>
      <x:c r="L41" s="98"/>
      <x:c r="M41" s="98"/>
      <x:c r="N41" s="98"/>
      <x:c r="O41" s="98"/>
      <x:c r="P41" s="98"/>
    </x:row>
    <x:row r="42">
      <x:c r="A42" s="98"/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</x:row>
    <x:row r="43">
      <x:c r="A43" s="103" t="str">
        <x:v>注意：这里的“方向约束”固定的是小腿基准面，而不是严格固定点1—点2连线。每一行均按实际点位重新建立虚拟腿坐标，因此派生量不受该漂移近似影响。</x:v>
      </x:c>
      <x:c r="B43" s="103"/>
      <x:c r="C43" s="103"/>
      <x:c r="D43" s="103"/>
      <x:c r="E43" s="103"/>
      <x:c r="F43" s="103"/>
      <x:c r="G43" s="103"/>
      <x:c r="H43" s="103"/>
      <x:c r="I43" s="103"/>
      <x:c r="J43" s="103"/>
      <x:c r="K43" s="103"/>
      <x:c r="L43" s="103"/>
      <x:c r="M43" s="103"/>
      <x:c r="N43" s="103"/>
      <x:c r="O43" s="103"/>
      <x:c r="P43" s="103"/>
    </x:row>
    <x:row r="44">
      <x:c r="A44" s="103" t="str"/>
      <x:c r="B44" s="103"/>
      <x:c r="C44" s="103"/>
      <x:c r="D44" s="103"/>
      <x:c r="E44" s="103"/>
      <x:c r="F44" s="103"/>
      <x:c r="G44" s="103"/>
      <x:c r="H44" s="103"/>
      <x:c r="I44" s="103"/>
      <x:c r="J44" s="103"/>
      <x:c r="K44" s="103"/>
      <x:c r="L44" s="103"/>
      <x:c r="M44" s="103"/>
      <x:c r="N44" s="103"/>
      <x:c r="O44" s="103"/>
      <x:c r="P44" s="103"/>
    </x:row>
    <x:row r="45">
      <x:c r="A45" s="103" t="str"/>
      <x:c r="B45" s="103"/>
      <x:c r="C45" s="103"/>
      <x:c r="D45" s="103"/>
      <x:c r="E45" s="103"/>
      <x:c r="F45" s="103"/>
      <x:c r="G45" s="103"/>
      <x:c r="H45" s="103"/>
      <x:c r="I45" s="103"/>
      <x:c r="J45" s="103"/>
      <x:c r="K45" s="103"/>
      <x:c r="L45" s="103"/>
      <x:c r="M45" s="103"/>
      <x:c r="N45" s="103"/>
      <x:c r="O45" s="103"/>
      <x:c r="P45" s="103"/>
    </x:row>
  </x:sheetData>
  <x:mergeCells>
    <x:mergeCell ref="A1:P1"/>
    <x:mergeCell ref="A11:F11"/>
    <x:mergeCell ref="A12:F12"/>
    <x:mergeCell ref="A13:F13"/>
    <x:mergeCell ref="A14:F14"/>
    <x:mergeCell ref="A15:F15"/>
    <x:mergeCell ref="A43:P43"/>
    <x:mergeCell ref="A44:P44"/>
    <x:mergeCell ref="A45:P45"/>
  </x:mergeCells>
  <x:pageMargins left="0.7" right="0.7" top="0.75" bottom="0.75" header="0.3" footer="0.3"/>
  <x:drawing xmlns:r="http://schemas.openxmlformats.org/officeDocument/2006/relationships" r:id="R053b8fdfa635483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</x:cols>
  <x:sheetData>
    <x:row r="1">
      <x:c r="A1" s="46" t="str">
        <x:v>SolidWorks 腿部质量特性测量说明</x:v>
      </x:c>
      <x:c r="B1" s="46"/>
      <x:c r="C1" s="46"/>
      <x:c r="D1" s="46"/>
      <x:c r="E1" s="46"/>
      <x:c r="F1" s="46"/>
    </x:row>
    <x:row r="2">
      <x:c r="A2" s="98"/>
      <x:c r="B2" s="98"/>
      <x:c r="C2" s="98"/>
      <x:c r="D2" s="98"/>
      <x:c r="E2" s="98"/>
      <x:c r="F2" s="98"/>
    </x:row>
    <x:row r="3">
      <x:c r="A3" s="30" t="str">
        <x:v>项目</x:v>
      </x:c>
      <x:c r="B3" s="30" t="str">
        <x:v>内容</x:v>
      </x:c>
      <x:c r="C3" s="98"/>
      <x:c r="D3" s="98"/>
      <x:c r="E3" s="98"/>
      <x:c r="F3" s="98"/>
    </x:row>
    <x:row r="4">
      <x:c r="A4" s="110" t="str">
        <x:v>源装配体</x:v>
      </x:c>
      <x:c r="B4" s="111" t="str">
        <x:v>C:\Users\SF4\Desktop\装配体-腿.SLDASM</x:v>
      </x:c>
      <x:c r="C4" s="98"/>
      <x:c r="D4" s="98"/>
      <x:c r="E4" s="98"/>
      <x:c r="F4" s="98"/>
    </x:row>
    <x:row r="5">
      <x:c r="A5" s="110" t="str">
        <x:v>采集日期</x:v>
      </x:c>
      <x:c r="B5" s="111" t="str">
        <x:v>2026-07-24</x:v>
      </x:c>
      <x:c r="C5" s="98"/>
      <x:c r="D5" s="98"/>
      <x:c r="E5" s="98"/>
      <x:c r="F5" s="98"/>
    </x:row>
    <x:row r="6">
      <x:c r="A6" s="110" t="str">
        <x:v>全局坐标</x:v>
      </x:c>
      <x:c r="B6" s="111" t="str">
        <x:v>X 沿轮轴；几何投影在 YZ 平面内</x:v>
      </x:c>
      <x:c r="C6" s="98"/>
      <x:c r="D6" s="98"/>
      <x:c r="E6" s="98"/>
      <x:c r="F6" s="98"/>
    </x:row>
    <x:row r="7">
      <x:c r="A7" s="110" t="str">
        <x:v>点1</x:v>
      </x:c>
      <x:c r="B7" s="111" t="str">
        <x:v>轮轴中心，随机构运动</x:v>
      </x:c>
      <x:c r="C7" s="98"/>
      <x:c r="D7" s="98"/>
      <x:c r="E7" s="98"/>
      <x:c r="F7" s="98"/>
    </x:row>
    <x:row r="8">
      <x:c r="A8" s="110" t="str">
        <x:v>点2</x:v>
      </x:c>
      <x:c r="B8" s="111" t="str">
        <x:v>虚拟腿上端中心，扫描中保持固定</x:v>
      </x:c>
      <x:c r="C8" s="98"/>
      <x:c r="D8" s="98"/>
      <x:c r="E8" s="98"/>
      <x:c r="F8" s="98"/>
    </x:row>
    <x:row r="9">
      <x:c r="A9" s="110" t="str">
        <x:v>虚拟腿正方向</x:v>
      </x:c>
      <x:c r="B9" s="111" t="str">
        <x:v>点2 → 点1</x:v>
      </x:c>
      <x:c r="C9" s="98"/>
      <x:c r="D9" s="98"/>
      <x:c r="E9" s="98"/>
      <x:c r="F9" s="98"/>
    </x:row>
    <x:row r="10">
      <x:c r="A10" s="110" t="str">
        <x:v>法向正方向</x:v>
      </x:c>
      <x:c r="B10" s="111" t="str">
        <x:v>e_normal = X轴 × e_parallel</x:v>
      </x:c>
      <x:c r="C10" s="98"/>
      <x:c r="D10" s="98"/>
      <x:c r="E10" s="98"/>
      <x:c r="F10" s="98"/>
    </x:row>
    <x:row r="11">
      <x:c r="A11" s="110" t="str">
        <x:v>质量范围</x:v>
      </x:c>
      <x:c r="B11" s="111" t="str">
        <x:v>包含工作副本中所有未抑制组件，并包含隐藏组件</x:v>
      </x:c>
      <x:c r="C11" s="98"/>
      <x:c r="D11" s="98"/>
      <x:c r="E11" s="98"/>
      <x:c r="F11" s="98"/>
    </x:row>
    <x:row r="12">
      <x:c r="A12" s="110" t="str">
        <x:v>SOLIDWORKS精度</x:v>
      </x:c>
      <x:c r="B12" s="111" t="str">
        <x:v>MassProperty AccuracyLevel_Higher</x:v>
      </x:c>
      <x:c r="C12" s="98"/>
      <x:c r="D12" s="98"/>
      <x:c r="E12" s="98"/>
      <x:c r="F12" s="98"/>
    </x:row>
    <x:row r="13">
      <x:c r="A13" s="110" t="str">
        <x:v>MCU当前单腿质量 kg</x:v>
      </x:c>
      <x:c r="B13" s="111" t="n">
        <x:v>2.3</x:v>
      </x:c>
      <x:c r="C13" s="98"/>
      <x:c r="D13" s="98"/>
      <x:c r="E13" s="98"/>
      <x:c r="F13" s="98"/>
    </x:row>
    <x:row r="14">
      <x:c r="A14" s="110" t="str">
        <x:v>查表目标</x:v>
      </x:c>
      <x:c r="B14" s="111" t="str">
        <x:v>0.11–0.33 m，每 0.01 m；另记录运动学最短/最长端</x:v>
      </x:c>
      <x:c r="C14" s="98"/>
      <x:c r="D14" s="98"/>
      <x:c r="E14" s="98"/>
      <x:c r="F14" s="98"/>
    </x:row>
    <x:row r="15">
      <x:c r="A15" s="110" t="str">
        <x:v>0.34 m状态</x:v>
      </x:c>
      <x:c r="B15" s="111" t="str">
        <x:v>当前双角度约束下不可达；最长稳定腿长约 0.3363372 m</x:v>
      </x:c>
      <x:c r="C15" s="98"/>
      <x:c r="D15" s="98"/>
      <x:c r="E15" s="98"/>
      <x:c r="F15" s="98"/>
    </x:row>
    <x:row r="16">
      <x:c r="A16" s="98"/>
      <x:c r="B16" s="98"/>
      <x:c r="C16" s="98"/>
      <x:c r="D16" s="98"/>
      <x:c r="E16" s="98"/>
      <x:c r="F16" s="98"/>
    </x:row>
    <x:row r="17">
      <x:c r="A17" s="112" t="str">
        <x:v>重要解释</x:v>
      </x:c>
      <x:c r="B17" s="112"/>
      <x:c r="C17" s="112"/>
      <x:c r="D17" s="112"/>
      <x:c r="E17" s="112"/>
      <x:c r="F17" s="112"/>
    </x:row>
    <x:row r="18" ht="32" customHeight="1">
      <x:c r="A18" s="101" t="str">
        <x:v>1. 质心明显不在点1—点2连线上，所以不要再只用一个 l_b 或 l_w 描述。</x:v>
      </x:c>
      <x:c r="B18" s="101"/>
      <x:c r="C18" s="101"/>
      <x:c r="D18" s="101"/>
      <x:c r="E18" s="101"/>
      <x:c r="F18" s="101"/>
    </x:row>
    <x:row r="19" ht="32" customHeight="1">
      <x:c r="A19" s="101" t="str">
        <x:v>2. com_parallel_* 是沿虚拟腿的有符号投影；com_normal_m 是离开虚拟腿线的有符号偏置。</x:v>
      </x:c>
      <x:c r="B19" s="101"/>
      <x:c r="C19" s="101"/>
      <x:c r="D19" s="101"/>
      <x:c r="E19" s="101"/>
      <x:c r="F19" s="101"/>
    </x:row>
    <x:row r="20" ht="32" customHeight="1">
      <x:c r="A20" s="101" t="str">
        <x:v>3. 对绕轮轴/腿转轴的 Pitch 动力学，使用 YZ 平面距离和平行轴定理；X 向偏置单独保留。</x:v>
      </x:c>
      <x:c r="B20" s="101"/>
      <x:c r="C20" s="101"/>
      <x:c r="D20" s="101"/>
      <x:c r="E20" s="101"/>
      <x:c r="F20" s="101"/>
    </x:row>
    <x:row r="21" ht="32" customHeight="1">
      <x:c r="A21" s="101" t="str">
        <x:v>4. MCU 的 2.3 kg 与当前 CAD 约 1.6409 kg 不一致，需先核对材料、缺件和模型范围，再决定采用哪个值。</x:v>
      </x:c>
      <x:c r="B21" s="101"/>
      <x:c r="C21" s="101"/>
      <x:c r="D21" s="101"/>
      <x:c r="E21" s="101"/>
      <x:c r="F21" s="101"/>
    </x:row>
    <x:row r="22" ht="32" customHeight="1">
      <x:c r="A22" s="101" t="str">
        <x:v>5. 工作簿没有直接修改 LQR/LESO 参数；MCU_Lookup 页是后续模型修正的输入。</x:v>
      </x:c>
      <x:c r="B22" s="101"/>
      <x:c r="C22" s="101"/>
      <x:c r="D22" s="101"/>
      <x:c r="E22" s="101"/>
      <x:c r="F22" s="101"/>
    </x:row>
  </x:sheetData>
  <x:mergeCells>
    <x:mergeCell ref="A1:F1"/>
    <x:mergeCell ref="A17:F17"/>
    <x:mergeCell ref="A18:F18"/>
    <x:mergeCell ref="A19:F19"/>
    <x:mergeCell ref="A20:F20"/>
    <x:mergeCell ref="A21:F21"/>
    <x:mergeCell ref="A22:F22"/>
  </x:mergeCells>
  <x:pageMargins left="0.7" right="0.7" top="0.75" bottom="0.75" header="0.3" footer="0.3"/>
</x:worksheet>
</file>